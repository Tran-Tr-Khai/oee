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IEU\Desktop\oee\data\"/>
    </mc:Choice>
  </mc:AlternateContent>
  <xr:revisionPtr revIDLastSave="0" documentId="13_ncr:1_{66F866B8-570B-4F54-85E3-30A6E0DC3D30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호기 및 품목별 상하대 일정 (당일)" sheetId="7" r:id="rId1"/>
  </sheets>
  <definedNames>
    <definedName name="_xlnm._FilterDatabase" localSheetId="0" hidden="1">'호기 및 품목별 상하대 일정 (당일)'!$A$3:$GLK$336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6" i="7" l="1"/>
  <c r="L196" i="7"/>
  <c r="N196" i="7" s="1"/>
  <c r="Q195" i="7"/>
  <c r="L195" i="7"/>
  <c r="N195" i="7" s="1"/>
  <c r="Q168" i="7"/>
  <c r="L168" i="7"/>
  <c r="M168" i="7" s="1"/>
  <c r="Q140" i="7"/>
  <c r="L140" i="7"/>
  <c r="N140" i="7" s="1"/>
  <c r="Q131" i="7"/>
  <c r="L131" i="7"/>
  <c r="M131" i="7" s="1"/>
  <c r="Q124" i="7"/>
  <c r="L124" i="7"/>
  <c r="Q122" i="7"/>
  <c r="L122" i="7"/>
  <c r="N122" i="7" s="1"/>
  <c r="Q84" i="7"/>
  <c r="L84" i="7"/>
  <c r="N84" i="7" s="1"/>
  <c r="Q53" i="7"/>
  <c r="L53" i="7"/>
  <c r="Q49" i="7"/>
  <c r="L49" i="7"/>
  <c r="N49" i="7" s="1"/>
  <c r="Q35" i="7"/>
  <c r="L35" i="7"/>
  <c r="N35" i="7" s="1"/>
  <c r="Q33" i="7"/>
  <c r="L33" i="7"/>
  <c r="P33" i="7" s="1"/>
  <c r="O33" i="7" s="1"/>
  <c r="Q212" i="7"/>
  <c r="L212" i="7"/>
  <c r="P212" i="7" s="1"/>
  <c r="O212" i="7" s="1"/>
  <c r="Q242" i="7"/>
  <c r="L242" i="7"/>
  <c r="N242" i="7" s="1"/>
  <c r="P53" i="7" l="1"/>
  <c r="O53" i="7" s="1"/>
  <c r="P124" i="7"/>
  <c r="O124" i="7" s="1"/>
  <c r="P242" i="7"/>
  <c r="O242" i="7" s="1"/>
  <c r="M242" i="7"/>
  <c r="M196" i="7"/>
  <c r="P196" i="7"/>
  <c r="O196" i="7" s="1"/>
  <c r="M195" i="7"/>
  <c r="P195" i="7"/>
  <c r="O195" i="7" s="1"/>
  <c r="N168" i="7"/>
  <c r="P168" i="7"/>
  <c r="O168" i="7" s="1"/>
  <c r="M140" i="7"/>
  <c r="P140" i="7"/>
  <c r="O140" i="7" s="1"/>
  <c r="N131" i="7"/>
  <c r="P131" i="7"/>
  <c r="O131" i="7" s="1"/>
  <c r="M124" i="7"/>
  <c r="N124" i="7"/>
  <c r="M122" i="7"/>
  <c r="P122" i="7"/>
  <c r="O122" i="7" s="1"/>
  <c r="M84" i="7"/>
  <c r="P84" i="7"/>
  <c r="O84" i="7" s="1"/>
  <c r="M53" i="7"/>
  <c r="N53" i="7"/>
  <c r="M49" i="7"/>
  <c r="P49" i="7"/>
  <c r="O49" i="7" s="1"/>
  <c r="M35" i="7"/>
  <c r="P35" i="7"/>
  <c r="O35" i="7" s="1"/>
  <c r="M33" i="7"/>
  <c r="N33" i="7"/>
  <c r="M212" i="7"/>
  <c r="N212" i="7"/>
  <c r="Q215" i="7" l="1"/>
  <c r="L215" i="7"/>
  <c r="P215" i="7" s="1"/>
  <c r="O215" i="7" s="1"/>
  <c r="Q251" i="7"/>
  <c r="L251" i="7"/>
  <c r="Q240" i="7"/>
  <c r="L240" i="7"/>
  <c r="Q87" i="7"/>
  <c r="L87" i="7"/>
  <c r="P87" i="7" s="1"/>
  <c r="O87" i="7" s="1"/>
  <c r="Q119" i="7"/>
  <c r="L119" i="7"/>
  <c r="P119" i="7" s="1"/>
  <c r="O119" i="7" s="1"/>
  <c r="Q95" i="7"/>
  <c r="L95" i="7"/>
  <c r="P95" i="7" s="1"/>
  <c r="O95" i="7" s="1"/>
  <c r="Q83" i="7"/>
  <c r="L83" i="7"/>
  <c r="P83" i="7" s="1"/>
  <c r="O83" i="7" s="1"/>
  <c r="Q34" i="7"/>
  <c r="L34" i="7"/>
  <c r="P34" i="7" s="1"/>
  <c r="O34" i="7" s="1"/>
  <c r="Q27" i="7"/>
  <c r="L27" i="7"/>
  <c r="P27" i="7" s="1"/>
  <c r="O27" i="7" s="1"/>
  <c r="P251" i="7" l="1"/>
  <c r="O251" i="7" s="1"/>
  <c r="P240" i="7"/>
  <c r="O240" i="7" s="1"/>
  <c r="M27" i="7"/>
  <c r="N27" i="7"/>
  <c r="M215" i="7"/>
  <c r="N215" i="7"/>
  <c r="M251" i="7"/>
  <c r="N251" i="7"/>
  <c r="M240" i="7"/>
  <c r="N240" i="7"/>
  <c r="M87" i="7"/>
  <c r="N87" i="7"/>
  <c r="M119" i="7"/>
  <c r="N119" i="7"/>
  <c r="M95" i="7"/>
  <c r="N95" i="7"/>
  <c r="M83" i="7"/>
  <c r="N83" i="7"/>
  <c r="M34" i="7"/>
  <c r="N34" i="7"/>
  <c r="Q333" i="7"/>
  <c r="Q329" i="7"/>
  <c r="L329" i="7"/>
  <c r="N329" i="7" s="1"/>
  <c r="Q233" i="7"/>
  <c r="L233" i="7"/>
  <c r="N233" i="7" s="1"/>
  <c r="Q231" i="7"/>
  <c r="L231" i="7"/>
  <c r="N231" i="7" s="1"/>
  <c r="Q80" i="7"/>
  <c r="L80" i="7"/>
  <c r="N80" i="7" s="1"/>
  <c r="Q138" i="7"/>
  <c r="L138" i="7"/>
  <c r="P138" i="7" s="1"/>
  <c r="O138" i="7" s="1"/>
  <c r="Q115" i="7"/>
  <c r="L115" i="7"/>
  <c r="Q90" i="7"/>
  <c r="L90" i="7"/>
  <c r="Q88" i="7"/>
  <c r="L88" i="7"/>
  <c r="P88" i="7" s="1"/>
  <c r="O88" i="7" s="1"/>
  <c r="Q54" i="7"/>
  <c r="L54" i="7"/>
  <c r="N54" i="7" s="1"/>
  <c r="Q133" i="7"/>
  <c r="L133" i="7"/>
  <c r="N133" i="7" s="1"/>
  <c r="Q29" i="7"/>
  <c r="L29" i="7"/>
  <c r="Q50" i="7"/>
  <c r="L50" i="7"/>
  <c r="P50" i="7" s="1"/>
  <c r="O50" i="7" s="1"/>
  <c r="Q213" i="7"/>
  <c r="L213" i="7"/>
  <c r="P213" i="7" s="1"/>
  <c r="O213" i="7" s="1"/>
  <c r="Q243" i="7"/>
  <c r="L243" i="7"/>
  <c r="Q234" i="7"/>
  <c r="L234" i="7"/>
  <c r="M234" i="7" s="1"/>
  <c r="Q232" i="7"/>
  <c r="L232" i="7"/>
  <c r="P232" i="7" s="1"/>
  <c r="O232" i="7" s="1"/>
  <c r="Q230" i="7"/>
  <c r="L230" i="7"/>
  <c r="P230" i="7" s="1"/>
  <c r="O230" i="7" s="1"/>
  <c r="P243" i="7" l="1"/>
  <c r="O243" i="7" s="1"/>
  <c r="P115" i="7"/>
  <c r="O115" i="7" s="1"/>
  <c r="P29" i="7"/>
  <c r="O29" i="7" s="1"/>
  <c r="P80" i="7"/>
  <c r="O80" i="7" s="1"/>
  <c r="P90" i="7"/>
  <c r="O90" i="7" s="1"/>
  <c r="M80" i="7"/>
  <c r="P231" i="7"/>
  <c r="O231" i="7" s="1"/>
  <c r="P329" i="7"/>
  <c r="O329" i="7" s="1"/>
  <c r="M329" i="7"/>
  <c r="P233" i="7"/>
  <c r="O233" i="7" s="1"/>
  <c r="M233" i="7"/>
  <c r="M231" i="7"/>
  <c r="P54" i="7"/>
  <c r="O54" i="7" s="1"/>
  <c r="M54" i="7"/>
  <c r="M138" i="7"/>
  <c r="N138" i="7"/>
  <c r="M115" i="7"/>
  <c r="N115" i="7"/>
  <c r="M90" i="7"/>
  <c r="N90" i="7"/>
  <c r="M88" i="7"/>
  <c r="N88" i="7"/>
  <c r="P133" i="7"/>
  <c r="O133" i="7" s="1"/>
  <c r="N50" i="7"/>
  <c r="M133" i="7"/>
  <c r="M29" i="7"/>
  <c r="N29" i="7"/>
  <c r="M50" i="7"/>
  <c r="M213" i="7"/>
  <c r="N213" i="7"/>
  <c r="M243" i="7"/>
  <c r="N243" i="7"/>
  <c r="N234" i="7"/>
  <c r="P234" i="7"/>
  <c r="O234" i="7" s="1"/>
  <c r="M232" i="7"/>
  <c r="N232" i="7"/>
  <c r="M230" i="7"/>
  <c r="N230" i="7"/>
  <c r="Q246" i="7" l="1"/>
  <c r="L246" i="7"/>
  <c r="Q336" i="7"/>
  <c r="L336" i="7"/>
  <c r="Q187" i="7"/>
  <c r="L187" i="7"/>
  <c r="N187" i="7" s="1"/>
  <c r="Q127" i="7"/>
  <c r="L127" i="7"/>
  <c r="N127" i="7" s="1"/>
  <c r="Q103" i="7"/>
  <c r="L103" i="7"/>
  <c r="N103" i="7" s="1"/>
  <c r="Q73" i="7"/>
  <c r="L73" i="7"/>
  <c r="Q28" i="7"/>
  <c r="L28" i="7"/>
  <c r="M28" i="7" s="1"/>
  <c r="Q229" i="7"/>
  <c r="L229" i="7"/>
  <c r="P229" i="7" s="1"/>
  <c r="O229" i="7" s="1"/>
  <c r="Q228" i="7"/>
  <c r="L228" i="7"/>
  <c r="P228" i="7" s="1"/>
  <c r="O228" i="7" s="1"/>
  <c r="Q191" i="7"/>
  <c r="L191" i="7"/>
  <c r="Q132" i="7"/>
  <c r="L132" i="7"/>
  <c r="P132" i="7" s="1"/>
  <c r="O132" i="7" s="1"/>
  <c r="Q110" i="7"/>
  <c r="L110" i="7"/>
  <c r="P110" i="7" s="1"/>
  <c r="O110" i="7" s="1"/>
  <c r="Q100" i="7"/>
  <c r="L100" i="7"/>
  <c r="P100" i="7" s="1"/>
  <c r="O100" i="7" s="1"/>
  <c r="Q82" i="7"/>
  <c r="L82" i="7"/>
  <c r="Q7" i="7"/>
  <c r="L7" i="7"/>
  <c r="P7" i="7" s="1"/>
  <c r="O7" i="7" s="1"/>
  <c r="Q330" i="7"/>
  <c r="Q331" i="7"/>
  <c r="L330" i="7"/>
  <c r="P82" i="7" l="1"/>
  <c r="O82" i="7" s="1"/>
  <c r="P191" i="7"/>
  <c r="O191" i="7" s="1"/>
  <c r="P73" i="7"/>
  <c r="O73" i="7" s="1"/>
  <c r="P246" i="7"/>
  <c r="O246" i="7" s="1"/>
  <c r="P336" i="7"/>
  <c r="O336" i="7" s="1"/>
  <c r="P330" i="7"/>
  <c r="O330" i="7" s="1"/>
  <c r="M246" i="7"/>
  <c r="N246" i="7"/>
  <c r="M336" i="7"/>
  <c r="N336" i="7"/>
  <c r="P187" i="7"/>
  <c r="O187" i="7" s="1"/>
  <c r="M187" i="7"/>
  <c r="P127" i="7"/>
  <c r="O127" i="7" s="1"/>
  <c r="M127" i="7"/>
  <c r="M103" i="7"/>
  <c r="P103" i="7"/>
  <c r="O103" i="7" s="1"/>
  <c r="M73" i="7"/>
  <c r="N73" i="7"/>
  <c r="N28" i="7"/>
  <c r="P28" i="7"/>
  <c r="O28" i="7" s="1"/>
  <c r="N100" i="7"/>
  <c r="N132" i="7"/>
  <c r="M229" i="7"/>
  <c r="N229" i="7"/>
  <c r="M228" i="7"/>
  <c r="N228" i="7"/>
  <c r="M191" i="7"/>
  <c r="N191" i="7"/>
  <c r="M132" i="7"/>
  <c r="M110" i="7"/>
  <c r="N110" i="7"/>
  <c r="M100" i="7"/>
  <c r="M82" i="7"/>
  <c r="N82" i="7"/>
  <c r="M7" i="7"/>
  <c r="N7" i="7"/>
  <c r="M330" i="7"/>
  <c r="N330" i="7"/>
  <c r="L333" i="7" l="1"/>
  <c r="P333" i="7" s="1"/>
  <c r="O333" i="7" s="1"/>
  <c r="Q227" i="7"/>
  <c r="L227" i="7"/>
  <c r="N227" i="7" s="1"/>
  <c r="Q226" i="7"/>
  <c r="L226" i="7"/>
  <c r="M226" i="7" s="1"/>
  <c r="Q209" i="7"/>
  <c r="L209" i="7"/>
  <c r="P209" i="7" s="1"/>
  <c r="O209" i="7" s="1"/>
  <c r="Q147" i="7"/>
  <c r="L147" i="7"/>
  <c r="N147" i="7" s="1"/>
  <c r="Q142" i="7"/>
  <c r="L142" i="7"/>
  <c r="N142" i="7" s="1"/>
  <c r="Q101" i="7"/>
  <c r="L101" i="7"/>
  <c r="N101" i="7" s="1"/>
  <c r="Q93" i="7"/>
  <c r="L93" i="7"/>
  <c r="N93" i="7" s="1"/>
  <c r="Q78" i="7"/>
  <c r="L78" i="7"/>
  <c r="N78" i="7" s="1"/>
  <c r="Q39" i="7"/>
  <c r="L39" i="7"/>
  <c r="N39" i="7" s="1"/>
  <c r="Q244" i="7"/>
  <c r="L244" i="7"/>
  <c r="M244" i="7" s="1"/>
  <c r="Q250" i="7"/>
  <c r="L250" i="7"/>
  <c r="P250" i="7" s="1"/>
  <c r="O250" i="7" s="1"/>
  <c r="Q225" i="7"/>
  <c r="L225" i="7"/>
  <c r="Q224" i="7"/>
  <c r="L224" i="7"/>
  <c r="P224" i="7" s="1"/>
  <c r="O224" i="7" s="1"/>
  <c r="Q223" i="7"/>
  <c r="L223" i="7"/>
  <c r="P223" i="7" s="1"/>
  <c r="O223" i="7" s="1"/>
  <c r="Q222" i="7"/>
  <c r="L222" i="7"/>
  <c r="P222" i="7" s="1"/>
  <c r="O222" i="7" s="1"/>
  <c r="Q221" i="7"/>
  <c r="L221" i="7"/>
  <c r="Q220" i="7"/>
  <c r="L220" i="7"/>
  <c r="P220" i="7" s="1"/>
  <c r="O220" i="7" s="1"/>
  <c r="Q141" i="7"/>
  <c r="L141" i="7"/>
  <c r="P141" i="7" s="1"/>
  <c r="O141" i="7" s="1"/>
  <c r="Q106" i="7"/>
  <c r="L106" i="7"/>
  <c r="P106" i="7" s="1"/>
  <c r="O106" i="7" s="1"/>
  <c r="Q30" i="7"/>
  <c r="L30" i="7"/>
  <c r="P30" i="7" l="1"/>
  <c r="O30" i="7" s="1"/>
  <c r="P225" i="7"/>
  <c r="O225" i="7" s="1"/>
  <c r="P221" i="7"/>
  <c r="O221" i="7" s="1"/>
  <c r="M333" i="7"/>
  <c r="N333" i="7"/>
  <c r="P227" i="7"/>
  <c r="O227" i="7" s="1"/>
  <c r="M227" i="7"/>
  <c r="N226" i="7"/>
  <c r="P226" i="7"/>
  <c r="O226" i="7" s="1"/>
  <c r="M209" i="7"/>
  <c r="N209" i="7"/>
  <c r="P147" i="7"/>
  <c r="O147" i="7" s="1"/>
  <c r="M147" i="7"/>
  <c r="M142" i="7"/>
  <c r="P142" i="7"/>
  <c r="O142" i="7" s="1"/>
  <c r="P101" i="7"/>
  <c r="O101" i="7" s="1"/>
  <c r="M101" i="7"/>
  <c r="P93" i="7"/>
  <c r="O93" i="7" s="1"/>
  <c r="M93" i="7"/>
  <c r="P78" i="7"/>
  <c r="O78" i="7" s="1"/>
  <c r="M78" i="7"/>
  <c r="P39" i="7"/>
  <c r="O39" i="7" s="1"/>
  <c r="M39" i="7"/>
  <c r="N244" i="7"/>
  <c r="P244" i="7"/>
  <c r="O244" i="7" s="1"/>
  <c r="M30" i="7"/>
  <c r="N30" i="7"/>
  <c r="M220" i="7"/>
  <c r="M250" i="7"/>
  <c r="N250" i="7"/>
  <c r="M225" i="7"/>
  <c r="N225" i="7"/>
  <c r="M224" i="7"/>
  <c r="N224" i="7"/>
  <c r="M223" i="7"/>
  <c r="N223" i="7"/>
  <c r="M222" i="7"/>
  <c r="N222" i="7"/>
  <c r="M221" i="7"/>
  <c r="N221" i="7"/>
  <c r="N220" i="7"/>
  <c r="M141" i="7"/>
  <c r="N141" i="7"/>
  <c r="M106" i="7"/>
  <c r="N106" i="7"/>
  <c r="Q241" i="7"/>
  <c r="L241" i="7"/>
  <c r="Q128" i="7"/>
  <c r="L128" i="7"/>
  <c r="Q125" i="7"/>
  <c r="L125" i="7"/>
  <c r="P125" i="7" s="1"/>
  <c r="O125" i="7" s="1"/>
  <c r="Q108" i="7"/>
  <c r="L108" i="7"/>
  <c r="P108" i="7" s="1"/>
  <c r="O108" i="7" s="1"/>
  <c r="Q62" i="7"/>
  <c r="L62" i="7"/>
  <c r="Q61" i="7"/>
  <c r="L61" i="7"/>
  <c r="P241" i="7" l="1"/>
  <c r="O241" i="7" s="1"/>
  <c r="P61" i="7"/>
  <c r="O61" i="7" s="1"/>
  <c r="P128" i="7"/>
  <c r="O128" i="7" s="1"/>
  <c r="P62" i="7"/>
  <c r="O62" i="7" s="1"/>
  <c r="M241" i="7"/>
  <c r="N241" i="7"/>
  <c r="M128" i="7"/>
  <c r="N128" i="7"/>
  <c r="M125" i="7"/>
  <c r="N125" i="7"/>
  <c r="M108" i="7"/>
  <c r="N108" i="7"/>
  <c r="M62" i="7"/>
  <c r="N62" i="7"/>
  <c r="M61" i="7"/>
  <c r="N61" i="7"/>
  <c r="Q334" i="7"/>
  <c r="Q236" i="7"/>
  <c r="L236" i="7"/>
  <c r="M236" i="7" s="1"/>
  <c r="Q145" i="7"/>
  <c r="L145" i="7"/>
  <c r="P145" i="7" s="1"/>
  <c r="O145" i="7" s="1"/>
  <c r="Q158" i="7"/>
  <c r="L158" i="7"/>
  <c r="Q151" i="7"/>
  <c r="L151" i="7"/>
  <c r="N151" i="7" s="1"/>
  <c r="Q116" i="7"/>
  <c r="L116" i="7"/>
  <c r="P116" i="7" s="1"/>
  <c r="O116" i="7" s="1"/>
  <c r="Q79" i="7"/>
  <c r="L79" i="7"/>
  <c r="Q19" i="7"/>
  <c r="L19" i="7"/>
  <c r="Q68" i="7"/>
  <c r="L68" i="7"/>
  <c r="Q98" i="7"/>
  <c r="L98" i="7"/>
  <c r="P98" i="7" s="1"/>
  <c r="O98" i="7" s="1"/>
  <c r="Q66" i="7"/>
  <c r="L66" i="7"/>
  <c r="P66" i="7" s="1"/>
  <c r="O66" i="7" s="1"/>
  <c r="P68" i="7" l="1"/>
  <c r="O68" i="7" s="1"/>
  <c r="P158" i="7"/>
  <c r="O158" i="7" s="1"/>
  <c r="P19" i="7"/>
  <c r="O19" i="7" s="1"/>
  <c r="P79" i="7"/>
  <c r="O79" i="7" s="1"/>
  <c r="M151" i="7"/>
  <c r="N236" i="7"/>
  <c r="P236" i="7"/>
  <c r="O236" i="7" s="1"/>
  <c r="M145" i="7"/>
  <c r="N145" i="7"/>
  <c r="M158" i="7"/>
  <c r="N158" i="7"/>
  <c r="P151" i="7"/>
  <c r="O151" i="7" s="1"/>
  <c r="M116" i="7"/>
  <c r="N116" i="7"/>
  <c r="M79" i="7"/>
  <c r="N79" i="7"/>
  <c r="M19" i="7"/>
  <c r="N19" i="7"/>
  <c r="M68" i="7"/>
  <c r="N68" i="7"/>
  <c r="M98" i="7"/>
  <c r="N98" i="7"/>
  <c r="M66" i="7"/>
  <c r="N66" i="7"/>
  <c r="Q239" i="7" l="1"/>
  <c r="L239" i="7"/>
  <c r="Q237" i="7"/>
  <c r="L237" i="7"/>
  <c r="Q235" i="7"/>
  <c r="L235" i="7"/>
  <c r="P237" i="7" l="1"/>
  <c r="O237" i="7" s="1"/>
  <c r="P235" i="7"/>
  <c r="O235" i="7" s="1"/>
  <c r="P239" i="7"/>
  <c r="O239" i="7" s="1"/>
  <c r="M239" i="7"/>
  <c r="N239" i="7"/>
  <c r="M237" i="7"/>
  <c r="N237" i="7"/>
  <c r="M235" i="7"/>
  <c r="N235" i="7"/>
  <c r="Q75" i="7" l="1"/>
  <c r="L75" i="7"/>
  <c r="P75" i="7" s="1"/>
  <c r="O75" i="7" s="1"/>
  <c r="Q72" i="7"/>
  <c r="L72" i="7"/>
  <c r="P72" i="7" s="1"/>
  <c r="O72" i="7" s="1"/>
  <c r="Q56" i="7"/>
  <c r="G381" i="7"/>
  <c r="M75" i="7" l="1"/>
  <c r="N75" i="7"/>
  <c r="N72" i="7"/>
  <c r="M72" i="7"/>
  <c r="Q65" i="7"/>
  <c r="L65" i="7"/>
  <c r="M65" i="7" s="1"/>
  <c r="N65" i="7" l="1"/>
  <c r="P65" i="7"/>
  <c r="O65" i="7" s="1"/>
  <c r="F381" i="7" l="1"/>
  <c r="Q190" i="7"/>
  <c r="L190" i="7"/>
  <c r="N190" i="7" s="1"/>
  <c r="Q188" i="7"/>
  <c r="L188" i="7"/>
  <c r="N188" i="7" s="1"/>
  <c r="Q60" i="7"/>
  <c r="L60" i="7"/>
  <c r="N60" i="7" s="1"/>
  <c r="M190" i="7" l="1"/>
  <c r="P190" i="7"/>
  <c r="O190" i="7" s="1"/>
  <c r="M188" i="7"/>
  <c r="P188" i="7"/>
  <c r="O188" i="7" s="1"/>
  <c r="M60" i="7"/>
  <c r="P60" i="7"/>
  <c r="O60" i="7" s="1"/>
  <c r="Q70" i="7" l="1"/>
  <c r="L70" i="7"/>
  <c r="P70" i="7" s="1"/>
  <c r="O70" i="7" s="1"/>
  <c r="Q69" i="7"/>
  <c r="L69" i="7"/>
  <c r="Q59" i="7"/>
  <c r="L59" i="7"/>
  <c r="M59" i="7" s="1"/>
  <c r="P69" i="7" l="1"/>
  <c r="O69" i="7" s="1"/>
  <c r="N70" i="7"/>
  <c r="M70" i="7"/>
  <c r="M69" i="7"/>
  <c r="N69" i="7"/>
  <c r="N59" i="7"/>
  <c r="P59" i="7"/>
  <c r="O59" i="7" s="1"/>
  <c r="Q189" i="7" l="1"/>
  <c r="L189" i="7"/>
  <c r="P189" i="7" l="1"/>
  <c r="O189" i="7" s="1"/>
  <c r="M189" i="7"/>
  <c r="N189" i="7"/>
  <c r="D381" i="7" l="1"/>
  <c r="E381" i="7"/>
  <c r="C381" i="7"/>
  <c r="Q182" i="7"/>
  <c r="L182" i="7"/>
  <c r="P182" i="7" s="1"/>
  <c r="O182" i="7" s="1"/>
  <c r="Q24" i="7"/>
  <c r="L24" i="7"/>
  <c r="Q23" i="7"/>
  <c r="L23" i="7"/>
  <c r="Q332" i="7"/>
  <c r="L332" i="7"/>
  <c r="M332" i="7" s="1"/>
  <c r="Q135" i="7"/>
  <c r="L135" i="7"/>
  <c r="P135" i="7" s="1"/>
  <c r="O135" i="7" s="1"/>
  <c r="Q26" i="7"/>
  <c r="L26" i="7"/>
  <c r="P24" i="7" l="1"/>
  <c r="O24" i="7" s="1"/>
  <c r="P23" i="7"/>
  <c r="O23" i="7" s="1"/>
  <c r="M182" i="7"/>
  <c r="N182" i="7"/>
  <c r="M24" i="7"/>
  <c r="N24" i="7"/>
  <c r="M23" i="7"/>
  <c r="N23" i="7"/>
  <c r="P332" i="7"/>
  <c r="O332" i="7" s="1"/>
  <c r="P26" i="7"/>
  <c r="O26" i="7" s="1"/>
  <c r="N332" i="7"/>
  <c r="N26" i="7"/>
  <c r="M135" i="7"/>
  <c r="N135" i="7"/>
  <c r="M26" i="7"/>
  <c r="Q186" i="7"/>
  <c r="L186" i="7"/>
  <c r="N186" i="7" s="1"/>
  <c r="P186" i="7" l="1"/>
  <c r="O186" i="7" s="1"/>
  <c r="M186" i="7"/>
  <c r="Q185" i="7" l="1"/>
  <c r="L185" i="7"/>
  <c r="P185" i="7" l="1"/>
  <c r="O185" i="7" s="1"/>
  <c r="M185" i="7"/>
  <c r="N185" i="7"/>
  <c r="Q184" i="7" l="1"/>
  <c r="L184" i="7"/>
  <c r="P184" i="7" l="1"/>
  <c r="O184" i="7" s="1"/>
  <c r="M184" i="7"/>
  <c r="N184" i="7"/>
  <c r="Q328" i="7"/>
  <c r="L328" i="7"/>
  <c r="P328" i="7" l="1"/>
  <c r="O328" i="7" s="1"/>
  <c r="M328" i="7"/>
  <c r="N328" i="7"/>
  <c r="Q136" i="7" l="1"/>
  <c r="L136" i="7"/>
  <c r="N136" i="7" s="1"/>
  <c r="M136" i="7" l="1"/>
  <c r="P136" i="7"/>
  <c r="O136" i="7" s="1"/>
  <c r="Q272" i="7"/>
  <c r="L272" i="7"/>
  <c r="P272" i="7" l="1"/>
  <c r="O272" i="7" s="1"/>
  <c r="M272" i="7"/>
  <c r="N272" i="7"/>
  <c r="Q274" i="7"/>
  <c r="L274" i="7"/>
  <c r="N274" i="7" s="1"/>
  <c r="Q273" i="7"/>
  <c r="L273" i="7"/>
  <c r="N273" i="7" s="1"/>
  <c r="Q194" i="7"/>
  <c r="L194" i="7"/>
  <c r="N194" i="7" s="1"/>
  <c r="Q164" i="7"/>
  <c r="L164" i="7"/>
  <c r="N164" i="7" s="1"/>
  <c r="Q146" i="7"/>
  <c r="L146" i="7"/>
  <c r="N146" i="7" s="1"/>
  <c r="Q121" i="7"/>
  <c r="L121" i="7"/>
  <c r="Q107" i="7"/>
  <c r="L107" i="7"/>
  <c r="N107" i="7" s="1"/>
  <c r="Q91" i="7"/>
  <c r="L91" i="7"/>
  <c r="N91" i="7" s="1"/>
  <c r="Q85" i="7"/>
  <c r="L85" i="7"/>
  <c r="P85" i="7" s="1"/>
  <c r="O85" i="7" s="1"/>
  <c r="Q277" i="7"/>
  <c r="L277" i="7"/>
  <c r="Q275" i="7"/>
  <c r="L275" i="7"/>
  <c r="Q217" i="7"/>
  <c r="L217" i="7"/>
  <c r="P217" i="7" s="1"/>
  <c r="O217" i="7" s="1"/>
  <c r="Q203" i="7"/>
  <c r="L203" i="7"/>
  <c r="Q192" i="7"/>
  <c r="L192" i="7"/>
  <c r="P192" i="7" s="1"/>
  <c r="O192" i="7" s="1"/>
  <c r="Q113" i="7"/>
  <c r="L113" i="7"/>
  <c r="Q74" i="7"/>
  <c r="L74" i="7"/>
  <c r="Q71" i="7"/>
  <c r="L71" i="7"/>
  <c r="Q57" i="7"/>
  <c r="L57" i="7"/>
  <c r="P57" i="7" s="1"/>
  <c r="O57" i="7" s="1"/>
  <c r="Q47" i="7"/>
  <c r="L47" i="7"/>
  <c r="Q14" i="7"/>
  <c r="L14" i="7"/>
  <c r="N14" i="7" s="1"/>
  <c r="P47" i="7" l="1"/>
  <c r="O47" i="7" s="1"/>
  <c r="P113" i="7"/>
  <c r="O113" i="7" s="1"/>
  <c r="P74" i="7"/>
  <c r="O74" i="7" s="1"/>
  <c r="P121" i="7"/>
  <c r="O121" i="7" s="1"/>
  <c r="P203" i="7"/>
  <c r="O203" i="7" s="1"/>
  <c r="P275" i="7"/>
  <c r="O275" i="7" s="1"/>
  <c r="P71" i="7"/>
  <c r="O71" i="7" s="1"/>
  <c r="P277" i="7"/>
  <c r="O277" i="7" s="1"/>
  <c r="M85" i="7"/>
  <c r="N85" i="7"/>
  <c r="P274" i="7"/>
  <c r="O274" i="7" s="1"/>
  <c r="M274" i="7"/>
  <c r="P273" i="7"/>
  <c r="O273" i="7" s="1"/>
  <c r="M273" i="7"/>
  <c r="P194" i="7"/>
  <c r="O194" i="7" s="1"/>
  <c r="M194" i="7"/>
  <c r="P164" i="7"/>
  <c r="O164" i="7" s="1"/>
  <c r="M164" i="7"/>
  <c r="P146" i="7"/>
  <c r="O146" i="7" s="1"/>
  <c r="M146" i="7"/>
  <c r="M121" i="7"/>
  <c r="N121" i="7"/>
  <c r="P107" i="7"/>
  <c r="O107" i="7" s="1"/>
  <c r="M107" i="7"/>
  <c r="M91" i="7"/>
  <c r="P91" i="7"/>
  <c r="O91" i="7" s="1"/>
  <c r="M113" i="7"/>
  <c r="N47" i="7"/>
  <c r="M277" i="7"/>
  <c r="N277" i="7"/>
  <c r="M275" i="7"/>
  <c r="N275" i="7"/>
  <c r="M217" i="7"/>
  <c r="N217" i="7"/>
  <c r="M203" i="7"/>
  <c r="N203" i="7"/>
  <c r="M192" i="7"/>
  <c r="N192" i="7"/>
  <c r="N113" i="7"/>
  <c r="M74" i="7"/>
  <c r="N74" i="7"/>
  <c r="M71" i="7"/>
  <c r="N71" i="7"/>
  <c r="M57" i="7"/>
  <c r="N57" i="7"/>
  <c r="M47" i="7"/>
  <c r="P14" i="7"/>
  <c r="O14" i="7" s="1"/>
  <c r="M14" i="7"/>
  <c r="Q283" i="7"/>
  <c r="L283" i="7"/>
  <c r="Q278" i="7"/>
  <c r="L278" i="7"/>
  <c r="M278" i="7" s="1"/>
  <c r="Q276" i="7"/>
  <c r="L276" i="7"/>
  <c r="P276" i="7" s="1"/>
  <c r="O276" i="7" s="1"/>
  <c r="Q157" i="7"/>
  <c r="L157" i="7"/>
  <c r="Q67" i="7"/>
  <c r="L67" i="7"/>
  <c r="N67" i="7" s="1"/>
  <c r="Q64" i="7"/>
  <c r="L64" i="7"/>
  <c r="Q63" i="7"/>
  <c r="L63" i="7"/>
  <c r="N63" i="7" s="1"/>
  <c r="Q51" i="7"/>
  <c r="L51" i="7"/>
  <c r="N51" i="7" s="1"/>
  <c r="Q48" i="7"/>
  <c r="L48" i="7"/>
  <c r="N48" i="7" s="1"/>
  <c r="Q5" i="7"/>
  <c r="L5" i="7"/>
  <c r="Q326" i="7"/>
  <c r="P5" i="7" l="1"/>
  <c r="O5" i="7" s="1"/>
  <c r="P157" i="7"/>
  <c r="O157" i="7" s="1"/>
  <c r="P64" i="7"/>
  <c r="O64" i="7" s="1"/>
  <c r="P283" i="7"/>
  <c r="O283" i="7" s="1"/>
  <c r="M283" i="7"/>
  <c r="N283" i="7"/>
  <c r="N278" i="7"/>
  <c r="P278" i="7"/>
  <c r="O278" i="7" s="1"/>
  <c r="N276" i="7"/>
  <c r="M276" i="7"/>
  <c r="M157" i="7"/>
  <c r="N157" i="7"/>
  <c r="P67" i="7"/>
  <c r="O67" i="7" s="1"/>
  <c r="M67" i="7"/>
  <c r="M64" i="7"/>
  <c r="N64" i="7"/>
  <c r="M63" i="7"/>
  <c r="P63" i="7"/>
  <c r="O63" i="7" s="1"/>
  <c r="M51" i="7"/>
  <c r="P51" i="7"/>
  <c r="O51" i="7" s="1"/>
  <c r="P48" i="7"/>
  <c r="O48" i="7" s="1"/>
  <c r="M48" i="7"/>
  <c r="M5" i="7"/>
  <c r="N5" i="7"/>
  <c r="Q198" i="7"/>
  <c r="L198" i="7"/>
  <c r="P198" i="7" s="1"/>
  <c r="O198" i="7" s="1"/>
  <c r="Q177" i="7"/>
  <c r="L177" i="7"/>
  <c r="Q120" i="7"/>
  <c r="L120" i="7"/>
  <c r="Q11" i="7"/>
  <c r="L11" i="7"/>
  <c r="Q249" i="7"/>
  <c r="Q247" i="7"/>
  <c r="Q245" i="7"/>
  <c r="Q255" i="7"/>
  <c r="Q254" i="7"/>
  <c r="Q253" i="7"/>
  <c r="Q252" i="7"/>
  <c r="Q248" i="7"/>
  <c r="Q238" i="7"/>
  <c r="Q219" i="7"/>
  <c r="Q210" i="7"/>
  <c r="Q206" i="7"/>
  <c r="Q281" i="7"/>
  <c r="L281" i="7"/>
  <c r="Q280" i="7"/>
  <c r="L280" i="7"/>
  <c r="Q279" i="7"/>
  <c r="L279" i="7"/>
  <c r="P177" i="7" l="1"/>
  <c r="O177" i="7" s="1"/>
  <c r="P11" i="7"/>
  <c r="O11" i="7" s="1"/>
  <c r="P281" i="7"/>
  <c r="O281" i="7" s="1"/>
  <c r="P280" i="7"/>
  <c r="O280" i="7" s="1"/>
  <c r="P120" i="7"/>
  <c r="O120" i="7" s="1"/>
  <c r="P279" i="7"/>
  <c r="O279" i="7" s="1"/>
  <c r="M120" i="7"/>
  <c r="M198" i="7"/>
  <c r="N198" i="7"/>
  <c r="M177" i="7"/>
  <c r="N177" i="7"/>
  <c r="N120" i="7"/>
  <c r="M11" i="7"/>
  <c r="N11" i="7"/>
  <c r="N280" i="7"/>
  <c r="M281" i="7"/>
  <c r="N281" i="7"/>
  <c r="M280" i="7"/>
  <c r="M279" i="7"/>
  <c r="N279" i="7"/>
  <c r="Q216" i="7" l="1"/>
  <c r="L216" i="7"/>
  <c r="P216" i="7" s="1"/>
  <c r="O216" i="7" s="1"/>
  <c r="Q207" i="7"/>
  <c r="L207" i="7"/>
  <c r="Q204" i="7"/>
  <c r="L204" i="7"/>
  <c r="P204" i="7" s="1"/>
  <c r="O204" i="7" s="1"/>
  <c r="L238" i="7"/>
  <c r="P238" i="7" s="1"/>
  <c r="O238" i="7" s="1"/>
  <c r="Q16" i="7"/>
  <c r="L16" i="7"/>
  <c r="N16" i="7" s="1"/>
  <c r="Q285" i="7"/>
  <c r="L285" i="7"/>
  <c r="Q284" i="7"/>
  <c r="L284" i="7"/>
  <c r="P284" i="7" s="1"/>
  <c r="O284" i="7" s="1"/>
  <c r="Q282" i="7"/>
  <c r="P285" i="7" l="1"/>
  <c r="O285" i="7" s="1"/>
  <c r="P207" i="7"/>
  <c r="O207" i="7" s="1"/>
  <c r="P16" i="7"/>
  <c r="O16" i="7" s="1"/>
  <c r="M216" i="7"/>
  <c r="N216" i="7"/>
  <c r="M207" i="7"/>
  <c r="N207" i="7"/>
  <c r="M204" i="7"/>
  <c r="N204" i="7"/>
  <c r="M238" i="7"/>
  <c r="N238" i="7"/>
  <c r="M16" i="7"/>
  <c r="M285" i="7"/>
  <c r="N285" i="7"/>
  <c r="M284" i="7"/>
  <c r="N284" i="7"/>
  <c r="L249" i="7"/>
  <c r="P249" i="7" s="1"/>
  <c r="O249" i="7" s="1"/>
  <c r="M249" i="7" l="1"/>
  <c r="N249" i="7"/>
  <c r="Q289" i="7" l="1"/>
  <c r="L289" i="7"/>
  <c r="P289" i="7" s="1"/>
  <c r="O289" i="7" s="1"/>
  <c r="Q288" i="7"/>
  <c r="L288" i="7"/>
  <c r="P288" i="7" s="1"/>
  <c r="O288" i="7" s="1"/>
  <c r="Q287" i="7"/>
  <c r="L287" i="7"/>
  <c r="Q286" i="7"/>
  <c r="L286" i="7"/>
  <c r="P286" i="7" s="1"/>
  <c r="O286" i="7" s="1"/>
  <c r="Q218" i="7"/>
  <c r="L218" i="7"/>
  <c r="Q211" i="7"/>
  <c r="L211" i="7"/>
  <c r="Q208" i="7"/>
  <c r="L208" i="7"/>
  <c r="P208" i="7" s="1"/>
  <c r="O208" i="7" s="1"/>
  <c r="Q205" i="7"/>
  <c r="L205" i="7"/>
  <c r="P205" i="7" s="1"/>
  <c r="O205" i="7" s="1"/>
  <c r="P287" i="7" l="1"/>
  <c r="O287" i="7" s="1"/>
  <c r="P211" i="7"/>
  <c r="O211" i="7" s="1"/>
  <c r="P218" i="7"/>
  <c r="O218" i="7" s="1"/>
  <c r="M289" i="7"/>
  <c r="N289" i="7"/>
  <c r="M288" i="7"/>
  <c r="N288" i="7"/>
  <c r="M287" i="7"/>
  <c r="N287" i="7"/>
  <c r="M286" i="7"/>
  <c r="N286" i="7"/>
  <c r="M218" i="7"/>
  <c r="N218" i="7"/>
  <c r="M211" i="7"/>
  <c r="N211" i="7"/>
  <c r="M208" i="7"/>
  <c r="N208" i="7"/>
  <c r="M205" i="7"/>
  <c r="N205" i="7"/>
  <c r="Q291" i="7"/>
  <c r="Q290" i="7"/>
  <c r="Q214" i="7"/>
  <c r="L214" i="7"/>
  <c r="N214" i="7" s="1"/>
  <c r="Q134" i="7"/>
  <c r="L134" i="7"/>
  <c r="Q129" i="7"/>
  <c r="L129" i="7"/>
  <c r="N129" i="7" s="1"/>
  <c r="Q92" i="7"/>
  <c r="L92" i="7"/>
  <c r="Q89" i="7"/>
  <c r="L89" i="7"/>
  <c r="P89" i="7" s="1"/>
  <c r="O89" i="7" s="1"/>
  <c r="Q118" i="7"/>
  <c r="L118" i="7"/>
  <c r="Q114" i="7"/>
  <c r="L114" i="7"/>
  <c r="P114" i="7" s="1"/>
  <c r="O114" i="7" s="1"/>
  <c r="Q99" i="7"/>
  <c r="L99" i="7"/>
  <c r="P99" i="7" s="1"/>
  <c r="O99" i="7" s="1"/>
  <c r="P92" i="7" l="1"/>
  <c r="O92" i="7" s="1"/>
  <c r="P118" i="7"/>
  <c r="O118" i="7" s="1"/>
  <c r="P134" i="7"/>
  <c r="O134" i="7" s="1"/>
  <c r="M214" i="7"/>
  <c r="P214" i="7"/>
  <c r="O214" i="7" s="1"/>
  <c r="M134" i="7"/>
  <c r="N134" i="7"/>
  <c r="M129" i="7"/>
  <c r="P129" i="7"/>
  <c r="O129" i="7" s="1"/>
  <c r="M92" i="7"/>
  <c r="N92" i="7"/>
  <c r="M89" i="7"/>
  <c r="N89" i="7"/>
  <c r="M99" i="7"/>
  <c r="N99" i="7"/>
  <c r="M118" i="7"/>
  <c r="N118" i="7"/>
  <c r="M114" i="7"/>
  <c r="N114" i="7"/>
  <c r="L255" i="7" l="1"/>
  <c r="Q322" i="7"/>
  <c r="L322" i="7"/>
  <c r="P322" i="7" l="1"/>
  <c r="O322" i="7" s="1"/>
  <c r="M322" i="7"/>
  <c r="N322" i="7"/>
  <c r="Q323" i="7" l="1"/>
  <c r="L323" i="7"/>
  <c r="N323" i="7" s="1"/>
  <c r="M323" i="7" l="1"/>
  <c r="P323" i="7"/>
  <c r="O323" i="7" s="1"/>
  <c r="Q41" i="7" l="1"/>
  <c r="L41" i="7"/>
  <c r="P41" i="7" l="1"/>
  <c r="O41" i="7" s="1"/>
  <c r="M41" i="7"/>
  <c r="N41" i="7"/>
  <c r="L326" i="7" l="1"/>
  <c r="P326" i="7" s="1"/>
  <c r="O326" i="7" s="1"/>
  <c r="Q96" i="7"/>
  <c r="L96" i="7"/>
  <c r="Q94" i="7"/>
  <c r="L94" i="7"/>
  <c r="Q77" i="7"/>
  <c r="L77" i="7"/>
  <c r="Q123" i="7"/>
  <c r="L123" i="7"/>
  <c r="P96" i="7" l="1"/>
  <c r="O96" i="7" s="1"/>
  <c r="M326" i="7"/>
  <c r="N326" i="7"/>
  <c r="P94" i="7"/>
  <c r="O94" i="7" s="1"/>
  <c r="P77" i="7"/>
  <c r="O77" i="7" s="1"/>
  <c r="N77" i="7"/>
  <c r="M77" i="7"/>
  <c r="M96" i="7"/>
  <c r="N96" i="7"/>
  <c r="M94" i="7"/>
  <c r="N94" i="7"/>
  <c r="P123" i="7"/>
  <c r="O123" i="7" s="1"/>
  <c r="M123" i="7"/>
  <c r="N123" i="7"/>
  <c r="L331" i="7" l="1"/>
  <c r="N331" i="7" s="1"/>
  <c r="L248" i="7"/>
  <c r="N248" i="7" s="1"/>
  <c r="Q102" i="7"/>
  <c r="L102" i="7"/>
  <c r="N102" i="7" s="1"/>
  <c r="Q86" i="7"/>
  <c r="L86" i="7"/>
  <c r="N86" i="7" s="1"/>
  <c r="Q81" i="7"/>
  <c r="L81" i="7"/>
  <c r="N81" i="7" s="1"/>
  <c r="L253" i="7"/>
  <c r="N253" i="7" s="1"/>
  <c r="Q117" i="7"/>
  <c r="L117" i="7"/>
  <c r="N117" i="7" s="1"/>
  <c r="Q139" i="7"/>
  <c r="L139" i="7"/>
  <c r="Q112" i="7"/>
  <c r="L112" i="7"/>
  <c r="N112" i="7" s="1"/>
  <c r="Q25" i="7"/>
  <c r="L25" i="7"/>
  <c r="N25" i="7" s="1"/>
  <c r="Q22" i="7"/>
  <c r="L22" i="7"/>
  <c r="N22" i="7" s="1"/>
  <c r="Q193" i="7"/>
  <c r="L193" i="7"/>
  <c r="Q46" i="7"/>
  <c r="L46" i="7"/>
  <c r="N46" i="7" s="1"/>
  <c r="Q137" i="7"/>
  <c r="L137" i="7"/>
  <c r="L291" i="7"/>
  <c r="N291" i="7" s="1"/>
  <c r="L282" i="7"/>
  <c r="P282" i="7" l="1"/>
  <c r="O282" i="7" s="1"/>
  <c r="P193" i="7"/>
  <c r="O193" i="7" s="1"/>
  <c r="P139" i="7"/>
  <c r="O139" i="7" s="1"/>
  <c r="P137" i="7"/>
  <c r="O137" i="7" s="1"/>
  <c r="M331" i="7"/>
  <c r="P331" i="7"/>
  <c r="O331" i="7" s="1"/>
  <c r="M248" i="7"/>
  <c r="P248" i="7"/>
  <c r="O248" i="7" s="1"/>
  <c r="P102" i="7"/>
  <c r="O102" i="7" s="1"/>
  <c r="M102" i="7"/>
  <c r="M86" i="7"/>
  <c r="P86" i="7"/>
  <c r="O86" i="7" s="1"/>
  <c r="M81" i="7"/>
  <c r="P81" i="7"/>
  <c r="O81" i="7" s="1"/>
  <c r="P253" i="7"/>
  <c r="O253" i="7" s="1"/>
  <c r="M253" i="7"/>
  <c r="P117" i="7"/>
  <c r="O117" i="7" s="1"/>
  <c r="M117" i="7"/>
  <c r="M139" i="7"/>
  <c r="N139" i="7"/>
  <c r="P112" i="7"/>
  <c r="O112" i="7" s="1"/>
  <c r="M112" i="7"/>
  <c r="P25" i="7"/>
  <c r="O25" i="7" s="1"/>
  <c r="M25" i="7"/>
  <c r="M22" i="7"/>
  <c r="P22" i="7"/>
  <c r="O22" i="7" s="1"/>
  <c r="M193" i="7"/>
  <c r="N193" i="7"/>
  <c r="M46" i="7"/>
  <c r="P46" i="7"/>
  <c r="O46" i="7" s="1"/>
  <c r="M137" i="7"/>
  <c r="N137" i="7"/>
  <c r="M291" i="7"/>
  <c r="P291" i="7"/>
  <c r="O291" i="7" s="1"/>
  <c r="M282" i="7"/>
  <c r="N282" i="7"/>
  <c r="P255" i="7" l="1"/>
  <c r="O255" i="7" s="1"/>
  <c r="M255" i="7" l="1"/>
  <c r="N255" i="7"/>
  <c r="L290" i="7" l="1"/>
  <c r="L254" i="7"/>
  <c r="N254" i="7" s="1"/>
  <c r="L252" i="7"/>
  <c r="N252" i="7" s="1"/>
  <c r="Q200" i="7"/>
  <c r="L200" i="7"/>
  <c r="N200" i="7" s="1"/>
  <c r="Q202" i="7"/>
  <c r="L202" i="7"/>
  <c r="N202" i="7" s="1"/>
  <c r="Q175" i="7"/>
  <c r="L175" i="7"/>
  <c r="N175" i="7" s="1"/>
  <c r="Q44" i="7"/>
  <c r="L44" i="7"/>
  <c r="Q15" i="7"/>
  <c r="L15" i="7"/>
  <c r="M15" i="7" s="1"/>
  <c r="Q173" i="7"/>
  <c r="L173" i="7"/>
  <c r="Q199" i="7"/>
  <c r="L199" i="7"/>
  <c r="N199" i="7" s="1"/>
  <c r="Q197" i="7"/>
  <c r="L197" i="7"/>
  <c r="P173" i="7" l="1"/>
  <c r="O173" i="7" s="1"/>
  <c r="P290" i="7"/>
  <c r="O290" i="7" s="1"/>
  <c r="P197" i="7"/>
  <c r="O197" i="7" s="1"/>
  <c r="P44" i="7"/>
  <c r="O44" i="7" s="1"/>
  <c r="M290" i="7"/>
  <c r="N290" i="7"/>
  <c r="P199" i="7"/>
  <c r="O199" i="7" s="1"/>
  <c r="M254" i="7"/>
  <c r="P254" i="7"/>
  <c r="O254" i="7" s="1"/>
  <c r="P252" i="7"/>
  <c r="O252" i="7" s="1"/>
  <c r="M252" i="7"/>
  <c r="M200" i="7"/>
  <c r="P200" i="7"/>
  <c r="O200" i="7" s="1"/>
  <c r="M202" i="7"/>
  <c r="P202" i="7"/>
  <c r="O202" i="7" s="1"/>
  <c r="M175" i="7"/>
  <c r="P175" i="7"/>
  <c r="O175" i="7" s="1"/>
  <c r="N44" i="7"/>
  <c r="M44" i="7"/>
  <c r="N15" i="7"/>
  <c r="P15" i="7"/>
  <c r="O15" i="7" s="1"/>
  <c r="M173" i="7"/>
  <c r="N173" i="7"/>
  <c r="M199" i="7"/>
  <c r="N197" i="7"/>
  <c r="M197" i="7"/>
  <c r="Q201" i="7" l="1"/>
  <c r="L201" i="7"/>
  <c r="Q31" i="7"/>
  <c r="L31" i="7"/>
  <c r="L245" i="7"/>
  <c r="P201" i="7" l="1"/>
  <c r="O201" i="7" s="1"/>
  <c r="P31" i="7"/>
  <c r="O31" i="7" s="1"/>
  <c r="P245" i="7"/>
  <c r="O245" i="7" s="1"/>
  <c r="M201" i="7"/>
  <c r="N201" i="7"/>
  <c r="M31" i="7"/>
  <c r="N31" i="7"/>
  <c r="M245" i="7"/>
  <c r="N245" i="7"/>
  <c r="Q105" i="7"/>
  <c r="L105" i="7"/>
  <c r="P105" i="7" s="1"/>
  <c r="O105" i="7" s="1"/>
  <c r="Q174" i="7"/>
  <c r="L174" i="7"/>
  <c r="Q97" i="7"/>
  <c r="L97" i="7"/>
  <c r="L247" i="7"/>
  <c r="Q172" i="7"/>
  <c r="L172" i="7"/>
  <c r="Q170" i="7"/>
  <c r="L170" i="7"/>
  <c r="Q166" i="7"/>
  <c r="L166" i="7"/>
  <c r="Q165" i="7"/>
  <c r="L165" i="7"/>
  <c r="Q109" i="7"/>
  <c r="L109" i="7"/>
  <c r="N109" i="7" s="1"/>
  <c r="Q55" i="7"/>
  <c r="L55" i="7"/>
  <c r="P97" i="7" l="1"/>
  <c r="O97" i="7" s="1"/>
  <c r="P170" i="7"/>
  <c r="O170" i="7" s="1"/>
  <c r="P172" i="7"/>
  <c r="O172" i="7" s="1"/>
  <c r="P55" i="7"/>
  <c r="O55" i="7" s="1"/>
  <c r="P174" i="7"/>
  <c r="O174" i="7" s="1"/>
  <c r="P165" i="7"/>
  <c r="O165" i="7" s="1"/>
  <c r="P247" i="7"/>
  <c r="O247" i="7" s="1"/>
  <c r="M105" i="7"/>
  <c r="N105" i="7"/>
  <c r="M174" i="7"/>
  <c r="N174" i="7"/>
  <c r="M97" i="7"/>
  <c r="N97" i="7"/>
  <c r="M247" i="7"/>
  <c r="N247" i="7"/>
  <c r="P166" i="7"/>
  <c r="O166" i="7" s="1"/>
  <c r="M55" i="7"/>
  <c r="N55" i="7"/>
  <c r="M172" i="7"/>
  <c r="N172" i="7"/>
  <c r="M170" i="7"/>
  <c r="N170" i="7"/>
  <c r="M166" i="7"/>
  <c r="N166" i="7"/>
  <c r="M165" i="7"/>
  <c r="N165" i="7"/>
  <c r="P109" i="7"/>
  <c r="O109" i="7" s="1"/>
  <c r="M109" i="7"/>
  <c r="Q17" i="7" l="1"/>
  <c r="L17" i="7"/>
  <c r="N17" i="7" s="1"/>
  <c r="M17" i="7" l="1"/>
  <c r="P17" i="7"/>
  <c r="O17" i="7" s="1"/>
  <c r="Q183" i="7" l="1"/>
  <c r="L183" i="7"/>
  <c r="N183" i="7" s="1"/>
  <c r="Q181" i="7"/>
  <c r="L181" i="7"/>
  <c r="N181" i="7" s="1"/>
  <c r="Q179" i="7"/>
  <c r="L179" i="7"/>
  <c r="Q163" i="7"/>
  <c r="L163" i="7"/>
  <c r="Q152" i="7"/>
  <c r="L152" i="7"/>
  <c r="N152" i="7" s="1"/>
  <c r="Q148" i="7"/>
  <c r="L148" i="7"/>
  <c r="Q13" i="7"/>
  <c r="L13" i="7"/>
  <c r="P148" i="7" l="1"/>
  <c r="O148" i="7" s="1"/>
  <c r="P163" i="7"/>
  <c r="O163" i="7" s="1"/>
  <c r="P179" i="7"/>
  <c r="O179" i="7" s="1"/>
  <c r="P13" i="7"/>
  <c r="O13" i="7" s="1"/>
  <c r="P183" i="7"/>
  <c r="O183" i="7" s="1"/>
  <c r="M183" i="7"/>
  <c r="N179" i="7"/>
  <c r="P152" i="7"/>
  <c r="O152" i="7" s="1"/>
  <c r="M181" i="7"/>
  <c r="P181" i="7"/>
  <c r="O181" i="7" s="1"/>
  <c r="M179" i="7"/>
  <c r="M163" i="7"/>
  <c r="N163" i="7"/>
  <c r="M152" i="7"/>
  <c r="M148" i="7"/>
  <c r="N148" i="7"/>
  <c r="M13" i="7"/>
  <c r="N13" i="7"/>
  <c r="Q178" i="7" l="1"/>
  <c r="L178" i="7"/>
  <c r="N178" i="7" s="1"/>
  <c r="Q43" i="7"/>
  <c r="L43" i="7"/>
  <c r="N43" i="7" s="1"/>
  <c r="L334" i="7"/>
  <c r="N334" i="7" s="1"/>
  <c r="M178" i="7" l="1"/>
  <c r="P178" i="7"/>
  <c r="O178" i="7" s="1"/>
  <c r="M43" i="7"/>
  <c r="P43" i="7"/>
  <c r="O43" i="7" s="1"/>
  <c r="M334" i="7"/>
  <c r="P334" i="7"/>
  <c r="O334" i="7" s="1"/>
  <c r="Q52" i="7" l="1"/>
  <c r="L52" i="7"/>
  <c r="Q21" i="7"/>
  <c r="L21" i="7"/>
  <c r="P52" i="7" l="1"/>
  <c r="O52" i="7" s="1"/>
  <c r="P21" i="7"/>
  <c r="O21" i="7" s="1"/>
  <c r="M52" i="7"/>
  <c r="N52" i="7"/>
  <c r="M21" i="7"/>
  <c r="N21" i="7"/>
  <c r="Q12" i="7" l="1"/>
  <c r="Q130" i="7"/>
  <c r="L130" i="7"/>
  <c r="Q37" i="7"/>
  <c r="L37" i="7"/>
  <c r="Q32" i="7"/>
  <c r="L32" i="7"/>
  <c r="L12" i="7"/>
  <c r="P37" i="7" l="1"/>
  <c r="O37" i="7" s="1"/>
  <c r="P130" i="7"/>
  <c r="O130" i="7" s="1"/>
  <c r="P32" i="7"/>
  <c r="O32" i="7" s="1"/>
  <c r="N37" i="7"/>
  <c r="P12" i="7"/>
  <c r="O12" i="7" s="1"/>
  <c r="M130" i="7"/>
  <c r="N130" i="7"/>
  <c r="M37" i="7"/>
  <c r="M32" i="7"/>
  <c r="N32" i="7"/>
  <c r="M12" i="7"/>
  <c r="N12" i="7"/>
  <c r="L56" i="7" l="1"/>
  <c r="N56" i="7" s="1"/>
  <c r="Q180" i="7"/>
  <c r="L180" i="7"/>
  <c r="N180" i="7" s="1"/>
  <c r="Q143" i="7"/>
  <c r="L143" i="7"/>
  <c r="N143" i="7" s="1"/>
  <c r="Q38" i="7"/>
  <c r="L38" i="7"/>
  <c r="N38" i="7" s="1"/>
  <c r="Q36" i="7"/>
  <c r="L36" i="7"/>
  <c r="Q18" i="7"/>
  <c r="L18" i="7"/>
  <c r="M18" i="7" s="1"/>
  <c r="P36" i="7" l="1"/>
  <c r="O36" i="7" s="1"/>
  <c r="M56" i="7"/>
  <c r="P56" i="7"/>
  <c r="O56" i="7" s="1"/>
  <c r="M180" i="7"/>
  <c r="P180" i="7"/>
  <c r="O180" i="7" s="1"/>
  <c r="M143" i="7"/>
  <c r="P143" i="7"/>
  <c r="O143" i="7" s="1"/>
  <c r="M38" i="7"/>
  <c r="P38" i="7"/>
  <c r="O38" i="7" s="1"/>
  <c r="M36" i="7"/>
  <c r="N36" i="7"/>
  <c r="N18" i="7"/>
  <c r="P18" i="7"/>
  <c r="O18" i="7" s="1"/>
  <c r="Q335" i="7" l="1"/>
  <c r="L335" i="7"/>
  <c r="M335" i="7" s="1"/>
  <c r="L210" i="7"/>
  <c r="P210" i="7" s="1"/>
  <c r="O210" i="7" s="1"/>
  <c r="Q176" i="7"/>
  <c r="L176" i="7"/>
  <c r="Q45" i="7"/>
  <c r="L45" i="7"/>
  <c r="L206" i="7"/>
  <c r="Q9" i="7"/>
  <c r="L9" i="7"/>
  <c r="P9" i="7" s="1"/>
  <c r="O9" i="7" s="1"/>
  <c r="P45" i="7" l="1"/>
  <c r="O45" i="7" s="1"/>
  <c r="P176" i="7"/>
  <c r="O176" i="7" s="1"/>
  <c r="P335" i="7"/>
  <c r="O335" i="7" s="1"/>
  <c r="N335" i="7"/>
  <c r="M210" i="7"/>
  <c r="N210" i="7"/>
  <c r="M176" i="7"/>
  <c r="N176" i="7"/>
  <c r="M45" i="7"/>
  <c r="N45" i="7"/>
  <c r="P206" i="7"/>
  <c r="O206" i="7" s="1"/>
  <c r="M206" i="7"/>
  <c r="N206" i="7"/>
  <c r="M9" i="7"/>
  <c r="N9" i="7"/>
  <c r="Q104" i="7"/>
  <c r="L104" i="7"/>
  <c r="Q76" i="7"/>
  <c r="L76" i="7"/>
  <c r="Q42" i="7"/>
  <c r="L42" i="7"/>
  <c r="P104" i="7" l="1"/>
  <c r="O104" i="7" s="1"/>
  <c r="P76" i="7"/>
  <c r="O76" i="7" s="1"/>
  <c r="P42" i="7"/>
  <c r="O42" i="7" s="1"/>
  <c r="M104" i="7"/>
  <c r="N104" i="7"/>
  <c r="M76" i="7"/>
  <c r="N76" i="7"/>
  <c r="M42" i="7"/>
  <c r="N42" i="7"/>
  <c r="Q58" i="7" l="1"/>
  <c r="L58" i="7"/>
  <c r="Q40" i="7"/>
  <c r="L40" i="7"/>
  <c r="P58" i="7" l="1"/>
  <c r="O58" i="7" s="1"/>
  <c r="P40" i="7"/>
  <c r="O40" i="7" s="1"/>
  <c r="M58" i="7"/>
  <c r="N58" i="7"/>
  <c r="M40" i="7"/>
  <c r="N40" i="7"/>
  <c r="Q171" i="7" l="1"/>
  <c r="Q169" i="7"/>
  <c r="Q167" i="7"/>
  <c r="Q162" i="7"/>
  <c r="Q161" i="7"/>
  <c r="Q160" i="7"/>
  <c r="Q159" i="7"/>
  <c r="Q156" i="7"/>
  <c r="Q155" i="7"/>
  <c r="Q154" i="7"/>
  <c r="Q153" i="7"/>
  <c r="Q150" i="7"/>
  <c r="Q149" i="7"/>
  <c r="Q144" i="7"/>
  <c r="Q126" i="7"/>
  <c r="Q111" i="7"/>
  <c r="Q20" i="7"/>
  <c r="Q10" i="7"/>
  <c r="Q8" i="7"/>
  <c r="Q6" i="7"/>
  <c r="Q4" i="7"/>
  <c r="L219" i="7"/>
  <c r="P219" i="7" l="1"/>
  <c r="O219" i="7" s="1"/>
  <c r="N219" i="7"/>
  <c r="M219" i="7"/>
  <c r="L153" i="7" l="1"/>
  <c r="L149" i="7"/>
  <c r="N149" i="7" s="1"/>
  <c r="M149" i="7" l="1"/>
  <c r="M153" i="7"/>
  <c r="N153" i="7"/>
  <c r="L169" i="7" l="1"/>
  <c r="L159" i="7"/>
  <c r="L150" i="7"/>
  <c r="P150" i="7" s="1"/>
  <c r="O150" i="7" s="1"/>
  <c r="L10" i="7"/>
  <c r="P10" i="7" s="1"/>
  <c r="O10" i="7" s="1"/>
  <c r="P169" i="7" l="1"/>
  <c r="O169" i="7" s="1"/>
  <c r="P159" i="7"/>
  <c r="O159" i="7" s="1"/>
  <c r="M169" i="7"/>
  <c r="N169" i="7"/>
  <c r="M159" i="7"/>
  <c r="N159" i="7"/>
  <c r="M150" i="7"/>
  <c r="N150" i="7"/>
  <c r="M10" i="7"/>
  <c r="N10" i="7"/>
  <c r="L171" i="7" l="1"/>
  <c r="L160" i="7"/>
  <c r="M160" i="7" s="1"/>
  <c r="L8" i="7"/>
  <c r="N8" i="7" s="1"/>
  <c r="L6" i="7"/>
  <c r="P6" i="7" s="1"/>
  <c r="O6" i="7" s="1"/>
  <c r="P171" i="7" l="1"/>
  <c r="O171" i="7" s="1"/>
  <c r="M171" i="7"/>
  <c r="N171" i="7"/>
  <c r="N160" i="7"/>
  <c r="P160" i="7"/>
  <c r="O160" i="7" s="1"/>
  <c r="M8" i="7"/>
  <c r="P8" i="7"/>
  <c r="O8" i="7" s="1"/>
  <c r="M6" i="7"/>
  <c r="N6" i="7"/>
  <c r="L144" i="7" l="1"/>
  <c r="P144" i="7" l="1"/>
  <c r="O144" i="7" s="1"/>
  <c r="M144" i="7"/>
  <c r="N144" i="7"/>
  <c r="Q361" i="7" l="1"/>
  <c r="P361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C361" i="7"/>
  <c r="L167" i="7"/>
  <c r="M167" i="7" s="1"/>
  <c r="L162" i="7"/>
  <c r="L161" i="7"/>
  <c r="L156" i="7"/>
  <c r="M156" i="7" s="1"/>
  <c r="L155" i="7"/>
  <c r="P155" i="7" s="1"/>
  <c r="O155" i="7" s="1"/>
  <c r="L154" i="7"/>
  <c r="P153" i="7"/>
  <c r="O153" i="7" s="1"/>
  <c r="P149" i="7"/>
  <c r="O149" i="7" s="1"/>
  <c r="L126" i="7"/>
  <c r="L111" i="7"/>
  <c r="N111" i="7" s="1"/>
  <c r="L20" i="7"/>
  <c r="M20" i="7" s="1"/>
  <c r="L4" i="7"/>
  <c r="M4" i="7" s="1"/>
  <c r="P126" i="7" l="1"/>
  <c r="O126" i="7" s="1"/>
  <c r="P162" i="7"/>
  <c r="O162" i="7" s="1"/>
  <c r="P20" i="7"/>
  <c r="O20" i="7" s="1"/>
  <c r="N167" i="7"/>
  <c r="P167" i="7"/>
  <c r="O167" i="7" s="1"/>
  <c r="N155" i="7"/>
  <c r="M155" i="7"/>
  <c r="N20" i="7"/>
  <c r="N4" i="7"/>
  <c r="N156" i="7"/>
  <c r="P4" i="7"/>
  <c r="O4" i="7" s="1"/>
  <c r="P156" i="7"/>
  <c r="O156" i="7" s="1"/>
  <c r="P111" i="7"/>
  <c r="O111" i="7" s="1"/>
  <c r="P154" i="7"/>
  <c r="O154" i="7" s="1"/>
  <c r="M111" i="7"/>
  <c r="P161" i="7"/>
  <c r="O161" i="7" s="1"/>
  <c r="M161" i="7"/>
  <c r="N161" i="7"/>
  <c r="N154" i="7"/>
  <c r="M126" i="7"/>
  <c r="N126" i="7"/>
  <c r="M154" i="7"/>
  <c r="M162" i="7"/>
  <c r="N16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BEAM 8000, CUT MC 70 11/7/2026</t>
        </r>
      </text>
    </comment>
    <comment ref="K4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bea 8000, cut mc 184 11/7/2026</t>
        </r>
      </text>
    </comment>
    <comment ref="K18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beam 8000, cut hư lược 13/7/2026</t>
        </r>
      </text>
    </comment>
    <comment ref="E23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chưa chạy</t>
        </r>
      </text>
    </comment>
    <comment ref="E23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chưa chạy</t>
        </r>
      </text>
    </comment>
    <comment ref="E23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chưa chạy</t>
        </r>
      </text>
    </comment>
    <comment ref="K23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beam 5000, dệt mc 206, cut dồn máy 9/7/2026</t>
        </r>
      </text>
    </comment>
    <comment ref="K242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beam 5000, cut mc 209 dồn máy 17/7/2026</t>
        </r>
      </text>
    </comment>
    <comment ref="E24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chưa chạy</t>
        </r>
      </text>
    </comment>
    <comment ref="C36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stop 5 sangte 13/7
</t>
        </r>
      </text>
    </comment>
    <comment ref="C37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all stop</t>
        </r>
      </text>
    </comment>
    <comment ref="C38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all stop</t>
        </r>
      </text>
    </comment>
    <comment ref="D38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all stop</t>
        </r>
      </text>
    </comment>
    <comment ref="E38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all stop</t>
        </r>
      </text>
    </comment>
    <comment ref="F380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all stop</t>
        </r>
      </text>
    </comment>
    <comment ref="G380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all stop</t>
        </r>
      </text>
    </comment>
  </commentList>
</comments>
</file>

<file path=xl/sharedStrings.xml><?xml version="1.0" encoding="utf-8"?>
<sst xmlns="http://schemas.openxmlformats.org/spreadsheetml/2006/main" count="2065" uniqueCount="410">
  <si>
    <t>SC-1020</t>
  </si>
  <si>
    <t>PRO</t>
  </si>
  <si>
    <t>%</t>
  </si>
  <si>
    <t>제직기간(일)
thời gian dệt</t>
  </si>
  <si>
    <r>
      <t xml:space="preserve">품목
</t>
    </r>
    <r>
      <rPr>
        <b/>
        <sz val="9"/>
        <color theme="1"/>
        <rFont val="Calibri"/>
        <family val="2"/>
        <scheme val="minor"/>
      </rPr>
      <t>loại hàng</t>
    </r>
  </si>
  <si>
    <r>
      <t xml:space="preserve">상대일
</t>
    </r>
    <r>
      <rPr>
        <b/>
        <sz val="9"/>
        <color theme="1"/>
        <rFont val="Calibri"/>
        <family val="2"/>
        <scheme val="minor"/>
      </rPr>
      <t>ngày lên beam</t>
    </r>
  </si>
  <si>
    <r>
      <t xml:space="preserve">대차
</t>
    </r>
    <r>
      <rPr>
        <b/>
        <sz val="10"/>
        <color theme="1"/>
        <rFont val="Calibri"/>
        <family val="2"/>
        <scheme val="minor"/>
      </rPr>
      <t>chênh lệch</t>
    </r>
  </si>
  <si>
    <t>ORDER</t>
  </si>
  <si>
    <t>B/M NO</t>
  </si>
  <si>
    <t>PO</t>
  </si>
  <si>
    <t>P-275</t>
  </si>
  <si>
    <t>P-157</t>
  </si>
  <si>
    <t>P-181</t>
  </si>
  <si>
    <t>P-169</t>
  </si>
  <si>
    <t>P-339</t>
  </si>
  <si>
    <t>P-86</t>
  </si>
  <si>
    <t>P-103</t>
  </si>
  <si>
    <t>P-191</t>
  </si>
  <si>
    <t>P-371</t>
  </si>
  <si>
    <t>P-376</t>
  </si>
  <si>
    <t>P-386</t>
  </si>
  <si>
    <t>P-5</t>
  </si>
  <si>
    <t>P-93</t>
  </si>
  <si>
    <t>P-306</t>
  </si>
  <si>
    <t>P-230</t>
  </si>
  <si>
    <t>P-215</t>
  </si>
  <si>
    <t>P-24</t>
  </si>
  <si>
    <t>P-244</t>
  </si>
  <si>
    <t>P-35</t>
  </si>
  <si>
    <t>P-62</t>
  </si>
  <si>
    <t>P-22</t>
  </si>
  <si>
    <t>P-350</t>
  </si>
  <si>
    <t>P-282</t>
  </si>
  <si>
    <t>P-294</t>
  </si>
  <si>
    <t>P-433</t>
  </si>
  <si>
    <t>P-79</t>
  </si>
  <si>
    <t>P-354</t>
  </si>
  <si>
    <t>P-236</t>
  </si>
  <si>
    <t>P-440</t>
  </si>
  <si>
    <t>P-393</t>
  </si>
  <si>
    <t>P-337</t>
  </si>
  <si>
    <t>P-280</t>
  </si>
  <si>
    <t>P-125</t>
  </si>
  <si>
    <t>P-319</t>
  </si>
  <si>
    <t>P-148</t>
  </si>
  <si>
    <t>P-206</t>
  </si>
  <si>
    <t>P-259</t>
  </si>
  <si>
    <t>P-252</t>
  </si>
  <si>
    <t>P-242</t>
  </si>
  <si>
    <t>P-135</t>
  </si>
  <si>
    <t>P-2</t>
  </si>
  <si>
    <t>P-201</t>
  </si>
  <si>
    <t>P-261</t>
  </si>
  <si>
    <t>P-197</t>
  </si>
  <si>
    <t>P-158</t>
  </si>
  <si>
    <t>P-126</t>
  </si>
  <si>
    <t>P-76</t>
  </si>
  <si>
    <t>P-257</t>
  </si>
  <si>
    <t>P-274</t>
  </si>
  <si>
    <t>P-40</t>
  </si>
  <si>
    <t>P-41</t>
  </si>
  <si>
    <t>P-343</t>
  </si>
  <si>
    <t>P-220</t>
  </si>
  <si>
    <t>P-53</t>
  </si>
  <si>
    <t>P-120</t>
  </si>
  <si>
    <t>P-192</t>
  </si>
  <si>
    <t>P-80</t>
  </si>
  <si>
    <t>W-65</t>
  </si>
  <si>
    <t>P-13</t>
  </si>
  <si>
    <t>P-351</t>
  </si>
  <si>
    <t>P-33</t>
  </si>
  <si>
    <t>P-61</t>
  </si>
  <si>
    <t>P-188</t>
  </si>
  <si>
    <t>P-179</t>
  </si>
  <si>
    <t>P-308</t>
  </si>
  <si>
    <t>W-65</t>
    <phoneticPr fontId="7" type="noConversion"/>
  </si>
  <si>
    <t>P-152</t>
  </si>
  <si>
    <t>P-327</t>
  </si>
  <si>
    <t>P-373</t>
  </si>
  <si>
    <t>P-365</t>
  </si>
  <si>
    <t>P-293</t>
  </si>
  <si>
    <t>P-34</t>
  </si>
  <si>
    <t>P-205</t>
  </si>
  <si>
    <t>P-398</t>
  </si>
  <si>
    <t>P-359</t>
  </si>
  <si>
    <t>P-163</t>
  </si>
  <si>
    <t>P-426</t>
  </si>
  <si>
    <t>P-378</t>
  </si>
  <si>
    <t>P-345</t>
  </si>
  <si>
    <t>P-102</t>
  </si>
  <si>
    <t>P-241</t>
  </si>
  <si>
    <t>P-255</t>
  </si>
  <si>
    <t>P-395</t>
  </si>
  <si>
    <t>P-82</t>
  </si>
  <si>
    <t>P-174</t>
  </si>
  <si>
    <t>P-211</t>
  </si>
  <si>
    <t>P-187</t>
  </si>
  <si>
    <t>P-312</t>
  </si>
  <si>
    <t>P-240</t>
  </si>
  <si>
    <t>P-399</t>
  </si>
  <si>
    <t>P-129</t>
  </si>
  <si>
    <t>P-379</t>
  </si>
  <si>
    <t>P-83</t>
  </si>
  <si>
    <t>P-91</t>
  </si>
  <si>
    <t>P-310</t>
  </si>
  <si>
    <t>P-232</t>
  </si>
  <si>
    <t>P-4</t>
  </si>
  <si>
    <t>P-253</t>
  </si>
  <si>
    <t>P-7</t>
  </si>
  <si>
    <t>P-355</t>
  </si>
  <si>
    <t>P-338</t>
  </si>
  <si>
    <t>P-115</t>
  </si>
  <si>
    <t>P-224</t>
  </si>
  <si>
    <t>P-212</t>
  </si>
  <si>
    <t>P-84</t>
  </si>
  <si>
    <t>P-28</t>
  </si>
  <si>
    <t>P-105</t>
  </si>
  <si>
    <t>P-249</t>
  </si>
  <si>
    <t>P-110</t>
  </si>
  <si>
    <t>P-447</t>
  </si>
  <si>
    <t>P-114</t>
  </si>
  <si>
    <t>P-27</t>
  </si>
  <si>
    <t>P-429</t>
  </si>
  <si>
    <t>P-323</t>
  </si>
  <si>
    <t>P-300</t>
  </si>
  <si>
    <t>P-279</t>
  </si>
  <si>
    <t>P-104</t>
  </si>
  <si>
    <t>P-332</t>
  </si>
  <si>
    <t>P-173</t>
  </si>
  <si>
    <t>P-243</t>
  </si>
  <si>
    <t>P-325</t>
  </si>
  <si>
    <t>P-375</t>
  </si>
  <si>
    <t>P-155</t>
  </si>
  <si>
    <t>P-285</t>
  </si>
  <si>
    <t>P-358</t>
  </si>
  <si>
    <t>STUK</t>
  </si>
  <si>
    <t>P-118</t>
  </si>
  <si>
    <t>P-235</t>
  </si>
  <si>
    <t>P-218</t>
  </si>
  <si>
    <t>P-36</t>
  </si>
  <si>
    <t>P-19</t>
  </si>
  <si>
    <t>P-185</t>
  </si>
  <si>
    <t>P-250</t>
  </si>
  <si>
    <t>P-348</t>
  </si>
  <si>
    <t>P-58</t>
  </si>
  <si>
    <t>P-335</t>
  </si>
  <si>
    <t>P-37</t>
  </si>
  <si>
    <t>P-8</t>
  </si>
  <si>
    <t>P-346</t>
  </si>
  <si>
    <t>P-139</t>
  </si>
  <si>
    <t>P-32</t>
  </si>
  <si>
    <t>P-183</t>
  </si>
  <si>
    <t>P-296</t>
  </si>
  <si>
    <t>P-186</t>
  </si>
  <si>
    <t>P-208</t>
  </si>
  <si>
    <t>P-317</t>
  </si>
  <si>
    <t>P-239</t>
  </si>
  <si>
    <t>P-64</t>
  </si>
  <si>
    <t>P-101</t>
  </si>
  <si>
    <t>P-134</t>
  </si>
  <si>
    <t>P-94</t>
  </si>
  <si>
    <t>DRONA</t>
  </si>
  <si>
    <t>P-202</t>
  </si>
  <si>
    <t>P-424</t>
  </si>
  <si>
    <t>P-60</t>
  </si>
  <si>
    <t>SC1012</t>
  </si>
  <si>
    <t>P-302</t>
  </si>
  <si>
    <t>HOVLIG</t>
  </si>
  <si>
    <t>P-246</t>
  </si>
  <si>
    <t>P-273</t>
  </si>
  <si>
    <t>P-81</t>
  </si>
  <si>
    <t>OVNING</t>
  </si>
  <si>
    <r>
      <t xml:space="preserve">하대예정일
</t>
    </r>
    <r>
      <rPr>
        <b/>
        <sz val="9"/>
        <color theme="1"/>
        <rFont val="Calibri"/>
        <family val="2"/>
        <scheme val="minor"/>
      </rPr>
      <t>ngày dự kiến hết beam</t>
    </r>
  </si>
  <si>
    <t>MODEL</t>
  </si>
  <si>
    <t>SKUBB</t>
  </si>
  <si>
    <t>67"</t>
  </si>
  <si>
    <t>65"</t>
  </si>
  <si>
    <t>UNIT</t>
  </si>
  <si>
    <t>MTS</t>
  </si>
  <si>
    <t>LENGTH</t>
  </si>
  <si>
    <t>P-430</t>
  </si>
  <si>
    <t>P-31</t>
  </si>
  <si>
    <t>P-162</t>
  </si>
  <si>
    <t>66.5"</t>
  </si>
  <si>
    <t>60"</t>
  </si>
  <si>
    <t>XB080718</t>
  </si>
  <si>
    <t>G-65</t>
  </si>
  <si>
    <t>호기별 상대 현황 및 상하대 일정 - THEO DÕI LÊN BEAM TỪNG MÁY VÀ NGÀY DỰ KIẾN HẾT BEAM</t>
  </si>
  <si>
    <t>P-421</t>
  </si>
  <si>
    <t>SKUBB WHITE</t>
  </si>
  <si>
    <t>SKUBB GREY</t>
  </si>
  <si>
    <t>INNER CUSHION</t>
  </si>
  <si>
    <t>P-412</t>
  </si>
  <si>
    <t>P-413</t>
  </si>
  <si>
    <t>P-403</t>
  </si>
  <si>
    <t>P-406</t>
  </si>
  <si>
    <t>TOTAL YARN</t>
  </si>
  <si>
    <t>P-402</t>
  </si>
  <si>
    <t>G- 66.5</t>
  </si>
  <si>
    <t>1800A</t>
  </si>
  <si>
    <t>DRONA GREY</t>
  </si>
  <si>
    <t>P-3</t>
  </si>
  <si>
    <t>P-238</t>
  </si>
  <si>
    <t>P-409</t>
  </si>
  <si>
    <t>P-449</t>
  </si>
  <si>
    <t>P-485</t>
  </si>
  <si>
    <t>P-493</t>
  </si>
  <si>
    <t>P-478</t>
  </si>
  <si>
    <t>WMT-D74 63D 180T</t>
  </si>
  <si>
    <t>S25-080005SK</t>
  </si>
  <si>
    <t>PNS2510-0005</t>
  </si>
  <si>
    <t>P-145</t>
  </si>
  <si>
    <t>P-476</t>
  </si>
  <si>
    <t>P-481</t>
  </si>
  <si>
    <t>P-482</t>
  </si>
  <si>
    <t>P-489</t>
  </si>
  <si>
    <t>P-132</t>
  </si>
  <si>
    <t>P-30</t>
  </si>
  <si>
    <t>P-6</t>
  </si>
  <si>
    <t>P-161</t>
  </si>
  <si>
    <t>P-484</t>
  </si>
  <si>
    <t>P-494</t>
  </si>
  <si>
    <t>P-414</t>
  </si>
  <si>
    <t>P-416</t>
  </si>
  <si>
    <t>P-221</t>
  </si>
  <si>
    <t>56"</t>
  </si>
  <si>
    <t>60.5"</t>
  </si>
  <si>
    <t>P-356</t>
  </si>
  <si>
    <t>P-408</t>
  </si>
  <si>
    <t>P-222</t>
  </si>
  <si>
    <t>SAFFEROT</t>
  </si>
  <si>
    <t>AAZ43</t>
  </si>
  <si>
    <t xml:space="preserve">DRONA BLACK </t>
  </si>
  <si>
    <t>P-74</t>
  </si>
  <si>
    <t>P-492</t>
  </si>
  <si>
    <t>TAFFETA 75D 190T</t>
  </si>
  <si>
    <t>TGT 300D 10's</t>
  </si>
  <si>
    <t>P-490</t>
  </si>
  <si>
    <t>P-331</t>
  </si>
  <si>
    <t>TAFFETA 68D 180T</t>
  </si>
  <si>
    <t>PNS2511-0009</t>
  </si>
  <si>
    <t>S25-110003SK</t>
  </si>
  <si>
    <t>PNS2507-0011</t>
  </si>
  <si>
    <t>P-363</t>
  </si>
  <si>
    <t>S25-070003SK</t>
  </si>
  <si>
    <t>P-46</t>
  </si>
  <si>
    <t>61"</t>
  </si>
  <si>
    <t>65.5"</t>
  </si>
  <si>
    <t>P/OX 130D 122T</t>
  </si>
  <si>
    <t>XB061218</t>
  </si>
  <si>
    <t>94"</t>
  </si>
  <si>
    <t>P/OX 200D 105T</t>
  </si>
  <si>
    <t>WMD-74</t>
  </si>
  <si>
    <t>M5102014</t>
  </si>
  <si>
    <t>S25-100001SK</t>
  </si>
  <si>
    <t>PNS2511-0003</t>
  </si>
  <si>
    <t>WMT 600D*300D 64T</t>
  </si>
  <si>
    <t>P-454</t>
  </si>
  <si>
    <t>P-472</t>
  </si>
  <si>
    <t>P-471</t>
  </si>
  <si>
    <t>S25-120003SK</t>
  </si>
  <si>
    <t>PNS2512-0052</t>
  </si>
  <si>
    <t>P-468</t>
  </si>
  <si>
    <t>1일생산량(MTS)
số MTS dệt mỗi ngày</t>
  </si>
  <si>
    <t>P-455</t>
  </si>
  <si>
    <t>P-475</t>
  </si>
  <si>
    <t>P-453</t>
  </si>
  <si>
    <t>P/OX-150D 135T</t>
  </si>
  <si>
    <t>M5101413</t>
  </si>
  <si>
    <t>P-463</t>
  </si>
  <si>
    <r>
      <t xml:space="preserve">호기
</t>
    </r>
    <r>
      <rPr>
        <b/>
        <sz val="9"/>
        <rFont val="Calibri"/>
        <family val="2"/>
        <scheme val="minor"/>
      </rPr>
      <t>số máy</t>
    </r>
  </si>
  <si>
    <t>P-458</t>
  </si>
  <si>
    <t>P-457</t>
  </si>
  <si>
    <t>LOT NO</t>
  </si>
  <si>
    <t>P-462</t>
  </si>
  <si>
    <t>P-460</t>
  </si>
  <si>
    <t>P-452</t>
  </si>
  <si>
    <t>SHOWER CURTAIN</t>
  </si>
  <si>
    <t>WMT 400*400</t>
  </si>
  <si>
    <t>76.8"</t>
  </si>
  <si>
    <t>M-1</t>
  </si>
  <si>
    <t>PNS2509-0044</t>
  </si>
  <si>
    <t>S25-090004SK</t>
  </si>
  <si>
    <t>PNS2512-0041</t>
  </si>
  <si>
    <t>W-65</t>
    <phoneticPr fontId="5" type="noConversion"/>
  </si>
  <si>
    <t>S25-120001SK</t>
  </si>
  <si>
    <t>P-456</t>
  </si>
  <si>
    <t>LASBRAKEN-97"</t>
  </si>
  <si>
    <t>HEDFRYLE-94"</t>
  </si>
  <si>
    <t>97"</t>
  </si>
  <si>
    <t>P-506</t>
  </si>
  <si>
    <t>P-505</t>
  </si>
  <si>
    <t>M-2</t>
  </si>
  <si>
    <t>PM-2</t>
  </si>
  <si>
    <t>PNS2604-0010</t>
  </si>
  <si>
    <t>S26-040002SK</t>
  </si>
  <si>
    <t>PNS2604-0001</t>
  </si>
  <si>
    <t>S26-040001SK</t>
  </si>
  <si>
    <t>PNS2604-0033</t>
  </si>
  <si>
    <t>S26-040003SK</t>
  </si>
  <si>
    <t>P-507</t>
  </si>
  <si>
    <t>011-5</t>
  </si>
  <si>
    <t>P-500</t>
  </si>
  <si>
    <t>M-3</t>
  </si>
  <si>
    <t>M-4</t>
  </si>
  <si>
    <t>PNS2604-0081</t>
  </si>
  <si>
    <t>S26-040005SK</t>
  </si>
  <si>
    <t>PM-6</t>
  </si>
  <si>
    <t>PM-5</t>
  </si>
  <si>
    <t>PNS2604-0090</t>
  </si>
  <si>
    <t>S25-080006SK</t>
  </si>
  <si>
    <t>S26-040007SK</t>
  </si>
  <si>
    <t>PNS2604-0102</t>
  </si>
  <si>
    <t>P-497</t>
  </si>
  <si>
    <t>DRONA PRINT</t>
  </si>
  <si>
    <t>54"</t>
  </si>
  <si>
    <t>DRONA  PRINT</t>
  </si>
  <si>
    <t xml:space="preserve">54" </t>
  </si>
  <si>
    <t>WMT 400*400 P/OX</t>
  </si>
  <si>
    <t>H20123</t>
  </si>
  <si>
    <t>PNS2509-0042</t>
  </si>
  <si>
    <t>S25-080008SK</t>
  </si>
  <si>
    <t>P-547</t>
  </si>
  <si>
    <t>PNS2605-0039</t>
  </si>
  <si>
    <t>S26-040004SK</t>
  </si>
  <si>
    <t>P-543</t>
  </si>
  <si>
    <t>RD230Z</t>
  </si>
  <si>
    <t>PW-4</t>
  </si>
  <si>
    <t>P-572</t>
  </si>
  <si>
    <t>P-536</t>
  </si>
  <si>
    <t>P-573</t>
  </si>
  <si>
    <t>P-571</t>
  </si>
  <si>
    <t>P-570</t>
  </si>
  <si>
    <t>P-574</t>
  </si>
  <si>
    <t>P-539</t>
  </si>
  <si>
    <t>P-522</t>
  </si>
  <si>
    <t>P-551</t>
  </si>
  <si>
    <t>P-529</t>
  </si>
  <si>
    <t>60" TEST</t>
  </si>
  <si>
    <t>P-576</t>
  </si>
  <si>
    <t>P-563</t>
  </si>
  <si>
    <t>INNER CUSHION 100.79"</t>
  </si>
  <si>
    <t>100.79"</t>
  </si>
  <si>
    <t>RD330-S</t>
  </si>
  <si>
    <t>INNER CUSHION SAMPLE</t>
  </si>
  <si>
    <t>P-554</t>
  </si>
  <si>
    <t>P-555</t>
  </si>
  <si>
    <t>P-557</t>
  </si>
  <si>
    <t>P-553</t>
  </si>
  <si>
    <t>P-558</t>
  </si>
  <si>
    <t>P-552</t>
  </si>
  <si>
    <t>RD330S</t>
  </si>
  <si>
    <t>P-587</t>
  </si>
  <si>
    <t>P-588</t>
  </si>
  <si>
    <t>P-589</t>
  </si>
  <si>
    <t>P-586</t>
  </si>
  <si>
    <t>P-559</t>
  </si>
  <si>
    <t>P-608</t>
  </si>
  <si>
    <t>P-611</t>
  </si>
  <si>
    <t>P-556</t>
  </si>
  <si>
    <t>P-583</t>
  </si>
  <si>
    <t>P-604</t>
  </si>
  <si>
    <t>P-590</t>
  </si>
  <si>
    <t>P-599</t>
  </si>
  <si>
    <t>P-600</t>
  </si>
  <si>
    <t>P-523</t>
  </si>
  <si>
    <t>P-560</t>
  </si>
  <si>
    <t>PNS2606-0061</t>
  </si>
  <si>
    <t>S26-010003SK</t>
  </si>
  <si>
    <t>P-584</t>
  </si>
  <si>
    <t>P-578</t>
  </si>
  <si>
    <t>P-562</t>
  </si>
  <si>
    <t>P-581</t>
  </si>
  <si>
    <t>P-521</t>
  </si>
  <si>
    <t>84.25"</t>
  </si>
  <si>
    <t>S26-060004SK</t>
  </si>
  <si>
    <t>PNS2606-0095</t>
  </si>
  <si>
    <t>PM-8</t>
  </si>
  <si>
    <t>92.125"</t>
  </si>
  <si>
    <t>S26-060005SK</t>
  </si>
  <si>
    <t>PNS2606-0096</t>
  </si>
  <si>
    <t>P-516</t>
  </si>
  <si>
    <t>P-515</t>
  </si>
  <si>
    <t>P-519</t>
  </si>
  <si>
    <t>PW-7</t>
  </si>
  <si>
    <t>80.315"</t>
  </si>
  <si>
    <t>SAFFEROT 204cm</t>
  </si>
  <si>
    <t>SAFFEROT 234cm</t>
  </si>
  <si>
    <t>SAFFEROT 214cm</t>
  </si>
  <si>
    <t>P-596</t>
  </si>
  <si>
    <t>P-512</t>
  </si>
  <si>
    <t>PW-8</t>
  </si>
  <si>
    <t>PNS2606-0094</t>
  </si>
  <si>
    <t>S26-060003SK</t>
  </si>
  <si>
    <t>P-511</t>
  </si>
  <si>
    <t>chưa chạy</t>
  </si>
  <si>
    <t>P-605</t>
  </si>
  <si>
    <t>SHOWER CURTAIN sp</t>
  </si>
  <si>
    <t>74.804"</t>
  </si>
  <si>
    <t>SC1020</t>
  </si>
  <si>
    <t>PW-9</t>
  </si>
  <si>
    <t>P-538</t>
  </si>
  <si>
    <t>P-510</t>
  </si>
  <si>
    <t>P-617</t>
  </si>
  <si>
    <t>P-614</t>
  </si>
  <si>
    <t>P-616</t>
  </si>
  <si>
    <t>P-615</t>
  </si>
  <si>
    <t>P-603</t>
  </si>
  <si>
    <t>P-607</t>
  </si>
  <si>
    <t>P-518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</si>
</sst>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mm&quot;월&quot;\ dd&quot;일&quot;"/>
    <numFmt numFmtId="165" formatCode="yyyy\-mm\-dd;@"/>
  </numFmts>
  <fonts count="23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b/>
      <sz val="9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1" fillId="0" borderId="0" applyFont="0" applyFill="0" applyBorder="0" applyAlignment="0" applyProtection="0"/>
    <xf numFmtId="0" fontId="2" fillId="0" borderId="0"/>
  </cellStyleXfs>
  <cellXfs count="1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14" fontId="12" fillId="0" borderId="7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9" fontId="0" fillId="0" borderId="0" xfId="0" applyNumberFormat="1" applyAlignment="1">
      <alignment horizontal="center" vertical="center"/>
    </xf>
    <xf numFmtId="9" fontId="12" fillId="0" borderId="7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>
      <alignment vertical="center"/>
    </xf>
    <xf numFmtId="164" fontId="0" fillId="2" borderId="2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0" fontId="0" fillId="2" borderId="15" xfId="0" applyFill="1" applyBorder="1">
      <alignment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19" xfId="0" applyFill="1" applyBorder="1">
      <alignment vertical="center"/>
    </xf>
    <xf numFmtId="1" fontId="0" fillId="0" borderId="11" xfId="0" applyNumberForma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>
      <alignment vertical="center"/>
    </xf>
    <xf numFmtId="1" fontId="0" fillId="0" borderId="5" xfId="0" applyNumberFormat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0" fontId="16" fillId="0" borderId="0" xfId="0" applyFont="1">
      <alignment vertical="center"/>
    </xf>
    <xf numFmtId="14" fontId="16" fillId="2" borderId="2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>
      <alignment vertical="center"/>
    </xf>
    <xf numFmtId="0" fontId="0" fillId="2" borderId="14" xfId="0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2" fillId="0" borderId="7" xfId="0" applyNumberFormat="1" applyFon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4" borderId="1" xfId="0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12" fillId="0" borderId="15" xfId="0" applyFont="1" applyBorder="1">
      <alignment vertical="center"/>
    </xf>
    <xf numFmtId="16" fontId="0" fillId="0" borderId="1" xfId="0" applyNumberFormat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  <xf numFmtId="1" fontId="16" fillId="2" borderId="10" xfId="0" applyNumberFormat="1" applyFont="1" applyFill="1" applyBorder="1" applyAlignment="1">
      <alignment horizontal="center" vertical="center"/>
    </xf>
    <xf numFmtId="1" fontId="16" fillId="2" borderId="11" xfId="0" applyNumberFormat="1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" fontId="0" fillId="4" borderId="10" xfId="0" applyNumberFormat="1" applyFill="1" applyBorder="1" applyAlignment="1">
      <alignment horizontal="center" vertical="center"/>
    </xf>
    <xf numFmtId="0" fontId="4" fillId="0" borderId="0" xfId="0" applyFont="1">
      <alignment vertical="center"/>
    </xf>
    <xf numFmtId="1" fontId="0" fillId="3" borderId="10" xfId="0" applyNumberFormat="1" applyFill="1" applyBorder="1" applyAlignment="1">
      <alignment horizontal="center" vertical="center"/>
    </xf>
    <xf numFmtId="1" fontId="0" fillId="3" borderId="11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1" fontId="0" fillId="0" borderId="0" xfId="0" applyNumberFormat="1" applyAlignment="1">
      <alignment horizontal="left" vertical="center"/>
    </xf>
    <xf numFmtId="41" fontId="0" fillId="0" borderId="0" xfId="0" applyNumberFormat="1">
      <alignment vertical="center"/>
    </xf>
    <xf numFmtId="0" fontId="0" fillId="2" borderId="25" xfId="0" applyFill="1" applyBorder="1">
      <alignment vertical="center"/>
    </xf>
    <xf numFmtId="43" fontId="0" fillId="0" borderId="0" xfId="1" applyFont="1" applyAlignment="1">
      <alignment vertical="center"/>
    </xf>
    <xf numFmtId="43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" fontId="0" fillId="6" borderId="10" xfId="0" applyNumberForma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1" fontId="16" fillId="2" borderId="26" xfId="0" applyNumberFormat="1" applyFont="1" applyFill="1" applyBorder="1" applyAlignment="1">
      <alignment horizontal="center" vertical="center"/>
    </xf>
    <xf numFmtId="1" fontId="16" fillId="3" borderId="22" xfId="0" applyNumberFormat="1" applyFont="1" applyFill="1" applyBorder="1" applyAlignment="1">
      <alignment horizontal="center" vertical="center"/>
    </xf>
    <xf numFmtId="1" fontId="16" fillId="5" borderId="24" xfId="0" applyNumberFormat="1" applyFont="1" applyFill="1" applyBorder="1" applyAlignment="1">
      <alignment horizontal="center" vertical="center"/>
    </xf>
    <xf numFmtId="1" fontId="16" fillId="6" borderId="24" xfId="0" applyNumberFormat="1" applyFont="1" applyFill="1" applyBorder="1" applyAlignment="1">
      <alignment horizontal="center" vertical="center"/>
    </xf>
    <xf numFmtId="1" fontId="16" fillId="10" borderId="26" xfId="0" applyNumberFormat="1" applyFont="1" applyFill="1" applyBorder="1" applyAlignment="1">
      <alignment horizontal="center" vertical="center"/>
    </xf>
    <xf numFmtId="1" fontId="0" fillId="7" borderId="24" xfId="0" applyNumberFormat="1" applyFill="1" applyBorder="1" applyAlignment="1">
      <alignment horizontal="center" vertical="center"/>
    </xf>
    <xf numFmtId="1" fontId="16" fillId="2" borderId="27" xfId="0" applyNumberFormat="1" applyFont="1" applyFill="1" applyBorder="1" applyAlignment="1">
      <alignment horizontal="center" vertical="center"/>
    </xf>
    <xf numFmtId="1" fontId="16" fillId="8" borderId="22" xfId="0" applyNumberFormat="1" applyFont="1" applyFill="1" applyBorder="1" applyAlignment="1">
      <alignment horizontal="center" vertical="center"/>
    </xf>
    <xf numFmtId="1" fontId="16" fillId="2" borderId="22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1" fontId="0" fillId="6" borderId="24" xfId="0" applyNumberFormat="1" applyFill="1" applyBorder="1" applyAlignment="1">
      <alignment horizontal="center" vertical="center"/>
    </xf>
    <xf numFmtId="1" fontId="16" fillId="11" borderId="24" xfId="0" applyNumberFormat="1" applyFont="1" applyFill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1" fontId="0" fillId="2" borderId="0" xfId="0" applyNumberFormat="1" applyFill="1">
      <alignment vertical="center"/>
    </xf>
    <xf numFmtId="0" fontId="15" fillId="2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Normal 2 2 3 3 3" xfId="2" xr:uid="{00000000-0005-0000-0000-000002000000}"/>
  </cellStyles>
  <dxfs count="0"/>
  <tableStyles count="0" defaultTableStyle="TableStyleMedium2" defaultPivotStyle="PivotStyleLight16"/>
  <colors>
    <mruColors>
      <color rgb="FFFF99FF"/>
      <color rgb="FF0AA69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K392"/>
  <sheetViews>
    <sheetView tabSelected="1" zoomScale="85" zoomScaleNormal="85" workbookViewId="0">
      <pane xSplit="1" ySplit="3" topLeftCell="B264" activePane="bottomRight" state="frozen"/>
      <selection activeCell="B277" sqref="B277:Q277"/>
      <selection pane="topRight" activeCell="B277" sqref="B277:Q277"/>
      <selection pane="bottomLeft" activeCell="B277" sqref="B277:Q277"/>
      <selection pane="bottomRight" activeCell="A3" sqref="A3"/>
    </sheetView>
  </sheetViews>
  <sheetFormatPr defaultRowHeight="15"/>
  <cols>
    <col min="1" max="1" width="24.28515625" style="58" customWidth="1"/>
    <col min="2" max="2" width="25.42578125" customWidth="1"/>
    <col min="3" max="4" width="9.140625" customWidth="1"/>
    <col min="5" max="5" width="13.85546875" customWidth="1"/>
    <col min="6" max="6" width="14.5703125" customWidth="1"/>
    <col min="7" max="7" width="15.42578125" customWidth="1"/>
    <col min="8" max="8" width="18.28515625" customWidth="1"/>
    <col min="9" max="9" width="12.42578125" style="65" customWidth="1"/>
    <col min="10" max="10" width="9.28515625" customWidth="1"/>
    <col min="11" max="11" width="9.7109375" style="1" customWidth="1"/>
    <col min="12" max="12" width="9.140625" customWidth="1"/>
    <col min="13" max="13" width="9" customWidth="1"/>
    <col min="14" max="14" width="9" style="23" customWidth="1"/>
    <col min="15" max="15" width="14.85546875" customWidth="1"/>
    <col min="16" max="16" width="13.42578125" customWidth="1"/>
    <col min="17" max="17" width="18.28515625" customWidth="1"/>
    <col min="19" max="19" width="10.5703125" bestFit="1" customWidth="1"/>
    <col min="20" max="20" width="19.5703125" customWidth="1"/>
    <col min="21" max="21" width="12" customWidth="1"/>
  </cols>
  <sheetData>
    <row r="1" spans="1:17 3262:3267" ht="18.75">
      <c r="A1" s="118" t="s">
        <v>187</v>
      </c>
      <c r="B1" s="118"/>
      <c r="C1" s="118"/>
      <c r="D1" s="118"/>
      <c r="E1" s="118"/>
      <c r="F1" s="118"/>
      <c r="G1" s="118"/>
      <c r="H1" s="118"/>
      <c r="I1" s="61"/>
      <c r="J1" s="1"/>
      <c r="L1" s="1"/>
      <c r="M1" s="1"/>
      <c r="N1" s="19"/>
      <c r="O1" s="1"/>
      <c r="P1" s="1"/>
      <c r="Q1" s="1"/>
    </row>
    <row r="2" spans="1:17 3262:3267" ht="15.75" thickBot="1">
      <c r="A2" s="57"/>
      <c r="B2" s="1"/>
      <c r="C2" s="1"/>
      <c r="D2" s="1"/>
      <c r="E2" s="1"/>
      <c r="F2" s="1"/>
      <c r="G2" s="89"/>
      <c r="H2" s="96"/>
      <c r="I2" s="1"/>
      <c r="J2" s="1"/>
      <c r="L2" s="1"/>
      <c r="M2" s="1"/>
      <c r="N2" s="19"/>
      <c r="O2" s="1"/>
      <c r="P2" s="1"/>
      <c r="Q2" s="87">
        <v>46220</v>
      </c>
    </row>
    <row r="3" spans="1:17 3262:3267" s="18" customFormat="1" ht="55.5" customHeight="1" thickBot="1">
      <c r="A3" s="73" t="s">
        <v>270</v>
      </c>
      <c r="B3" s="53" t="s">
        <v>173</v>
      </c>
      <c r="C3" s="29" t="s">
        <v>4</v>
      </c>
      <c r="D3" s="29" t="s">
        <v>177</v>
      </c>
      <c r="E3" s="14" t="s">
        <v>5</v>
      </c>
      <c r="F3" s="15" t="s">
        <v>9</v>
      </c>
      <c r="G3" s="15" t="s">
        <v>7</v>
      </c>
      <c r="H3" s="15" t="s">
        <v>273</v>
      </c>
      <c r="I3" s="62" t="s">
        <v>196</v>
      </c>
      <c r="J3" s="15" t="s">
        <v>8</v>
      </c>
      <c r="K3" s="15" t="s">
        <v>179</v>
      </c>
      <c r="L3" s="15" t="s">
        <v>1</v>
      </c>
      <c r="M3" s="13" t="s">
        <v>6</v>
      </c>
      <c r="N3" s="20" t="s">
        <v>2</v>
      </c>
      <c r="O3" s="13" t="s">
        <v>172</v>
      </c>
      <c r="P3" s="16" t="s">
        <v>3</v>
      </c>
      <c r="Q3" s="17" t="s">
        <v>263</v>
      </c>
      <c r="DUL3" s="68"/>
      <c r="DUM3" s="68"/>
      <c r="DUN3" s="68"/>
      <c r="DUO3" s="68"/>
      <c r="DUP3" s="68"/>
      <c r="DUQ3" s="68"/>
    </row>
    <row r="4" spans="1:17 3262:3267">
      <c r="A4" s="76">
        <v>1</v>
      </c>
      <c r="B4" s="77" t="s">
        <v>174</v>
      </c>
      <c r="C4" s="33" t="s">
        <v>284</v>
      </c>
      <c r="D4" s="31" t="s">
        <v>178</v>
      </c>
      <c r="E4" s="7">
        <v>46207</v>
      </c>
      <c r="F4" s="11" t="s">
        <v>368</v>
      </c>
      <c r="G4" s="11" t="s">
        <v>367</v>
      </c>
      <c r="H4" s="4" t="s">
        <v>0</v>
      </c>
      <c r="I4" s="5">
        <v>4758</v>
      </c>
      <c r="J4" s="6" t="s">
        <v>134</v>
      </c>
      <c r="K4" s="2">
        <v>8000</v>
      </c>
      <c r="L4" s="2">
        <f t="shared" ref="L4:L29" si="0">+K4*0.975</f>
        <v>7800</v>
      </c>
      <c r="M4" s="12">
        <f t="shared" ref="M4:M29" si="1">+L4-K4</f>
        <v>-200</v>
      </c>
      <c r="N4" s="21">
        <f t="shared" ref="N4:N29" si="2">+L4/K4</f>
        <v>0.97499999999999998</v>
      </c>
      <c r="O4" s="56">
        <f>E4+P4+1+4</f>
        <v>46232.830729492147</v>
      </c>
      <c r="P4" s="25">
        <f t="shared" ref="P4:P29" si="3">+L4/Q4</f>
        <v>20.830729492146816</v>
      </c>
      <c r="Q4" s="51">
        <f>630*40/60*0.975*0.9144</f>
        <v>374.4468</v>
      </c>
    </row>
    <row r="5" spans="1:17 3262:3267">
      <c r="A5" s="78">
        <v>2</v>
      </c>
      <c r="B5" s="77" t="s">
        <v>174</v>
      </c>
      <c r="C5" s="33" t="s">
        <v>284</v>
      </c>
      <c r="D5" s="31" t="s">
        <v>178</v>
      </c>
      <c r="E5" s="7">
        <v>46205</v>
      </c>
      <c r="F5" s="11" t="s">
        <v>282</v>
      </c>
      <c r="G5" s="11" t="s">
        <v>281</v>
      </c>
      <c r="H5" s="4" t="s">
        <v>0</v>
      </c>
      <c r="I5" s="5">
        <v>4758</v>
      </c>
      <c r="J5" s="6" t="s">
        <v>181</v>
      </c>
      <c r="K5" s="2">
        <v>8000</v>
      </c>
      <c r="L5" s="2">
        <f t="shared" si="0"/>
        <v>7800</v>
      </c>
      <c r="M5" s="12">
        <f t="shared" si="1"/>
        <v>-200</v>
      </c>
      <c r="N5" s="21">
        <f t="shared" si="2"/>
        <v>0.97499999999999998</v>
      </c>
      <c r="O5" s="56">
        <f>E5+P5+1+3</f>
        <v>46229.830729492147</v>
      </c>
      <c r="P5" s="25">
        <f t="shared" si="3"/>
        <v>20.830729492146816</v>
      </c>
      <c r="Q5" s="51">
        <f t="shared" ref="Q5" si="4">630*40/60*0.975*0.9144</f>
        <v>374.4468</v>
      </c>
    </row>
    <row r="6" spans="1:17 3262:3267">
      <c r="A6" s="78">
        <v>3</v>
      </c>
      <c r="B6" s="32" t="s">
        <v>174</v>
      </c>
      <c r="C6" s="32" t="s">
        <v>67</v>
      </c>
      <c r="D6" s="32" t="s">
        <v>178</v>
      </c>
      <c r="E6" s="7">
        <v>46197</v>
      </c>
      <c r="F6" s="4" t="s">
        <v>282</v>
      </c>
      <c r="G6" s="4" t="s">
        <v>281</v>
      </c>
      <c r="H6" s="3" t="s">
        <v>0</v>
      </c>
      <c r="I6" s="5">
        <v>4758</v>
      </c>
      <c r="J6" s="6" t="s">
        <v>48</v>
      </c>
      <c r="K6" s="2">
        <v>8000</v>
      </c>
      <c r="L6" s="2">
        <f t="shared" si="0"/>
        <v>7800</v>
      </c>
      <c r="M6" s="2">
        <f t="shared" si="1"/>
        <v>-200</v>
      </c>
      <c r="N6" s="21">
        <f t="shared" si="2"/>
        <v>0.97499999999999998</v>
      </c>
      <c r="O6" s="56">
        <f>E6+P6+1+3</f>
        <v>46221.830729492147</v>
      </c>
      <c r="P6" s="24">
        <f t="shared" si="3"/>
        <v>20.830729492146816</v>
      </c>
      <c r="Q6" s="51">
        <f>630*40/60*0.975*0.9144</f>
        <v>374.4468</v>
      </c>
    </row>
    <row r="7" spans="1:17 3262:3267">
      <c r="A7" s="78">
        <v>4</v>
      </c>
      <c r="B7" s="77" t="s">
        <v>174</v>
      </c>
      <c r="C7" s="33" t="s">
        <v>284</v>
      </c>
      <c r="D7" s="31" t="s">
        <v>178</v>
      </c>
      <c r="E7" s="7">
        <v>46213</v>
      </c>
      <c r="F7" s="11" t="s">
        <v>368</v>
      </c>
      <c r="G7" s="11" t="s">
        <v>367</v>
      </c>
      <c r="H7" s="4" t="s">
        <v>0</v>
      </c>
      <c r="I7" s="5">
        <v>4758</v>
      </c>
      <c r="J7" s="6" t="s">
        <v>207</v>
      </c>
      <c r="K7" s="2">
        <v>8000</v>
      </c>
      <c r="L7" s="2">
        <f t="shared" si="0"/>
        <v>7800</v>
      </c>
      <c r="M7" s="12">
        <f t="shared" si="1"/>
        <v>-200</v>
      </c>
      <c r="N7" s="21">
        <f t="shared" si="2"/>
        <v>0.97499999999999998</v>
      </c>
      <c r="O7" s="8">
        <f>+E7+P7+1+4</f>
        <v>46238.830729492147</v>
      </c>
      <c r="P7" s="25">
        <f t="shared" si="3"/>
        <v>20.830729492146816</v>
      </c>
      <c r="Q7" s="51">
        <f t="shared" ref="Q7" si="5">630*40/60*0.975*0.9144</f>
        <v>374.4468</v>
      </c>
    </row>
    <row r="8" spans="1:17 3262:3267">
      <c r="A8" s="78">
        <v>5</v>
      </c>
      <c r="B8" s="32" t="s">
        <v>174</v>
      </c>
      <c r="C8" s="32" t="s">
        <v>67</v>
      </c>
      <c r="D8" s="32" t="s">
        <v>178</v>
      </c>
      <c r="E8" s="7">
        <v>46198</v>
      </c>
      <c r="F8" s="4" t="s">
        <v>282</v>
      </c>
      <c r="G8" s="4" t="s">
        <v>281</v>
      </c>
      <c r="H8" s="3" t="s">
        <v>0</v>
      </c>
      <c r="I8" s="5">
        <v>4758</v>
      </c>
      <c r="J8" s="6" t="s">
        <v>93</v>
      </c>
      <c r="K8" s="2">
        <v>8000</v>
      </c>
      <c r="L8" s="2">
        <f t="shared" si="0"/>
        <v>7800</v>
      </c>
      <c r="M8" s="2">
        <f t="shared" si="1"/>
        <v>-200</v>
      </c>
      <c r="N8" s="21">
        <f t="shared" si="2"/>
        <v>0.97499999999999998</v>
      </c>
      <c r="O8" s="56">
        <f>E8+P8+1+4</f>
        <v>46223.830729492147</v>
      </c>
      <c r="P8" s="24">
        <f t="shared" si="3"/>
        <v>20.830729492146816</v>
      </c>
      <c r="Q8" s="51">
        <f>630*40/60*0.975*0.9144</f>
        <v>374.4468</v>
      </c>
    </row>
    <row r="9" spans="1:17 3262:3267">
      <c r="A9" s="78">
        <v>6</v>
      </c>
      <c r="B9" s="79" t="s">
        <v>174</v>
      </c>
      <c r="C9" s="67" t="s">
        <v>186</v>
      </c>
      <c r="D9" s="31" t="s">
        <v>178</v>
      </c>
      <c r="E9" s="7">
        <v>46218</v>
      </c>
      <c r="F9" s="86" t="s">
        <v>285</v>
      </c>
      <c r="G9" s="86" t="s">
        <v>283</v>
      </c>
      <c r="H9" s="86" t="s">
        <v>301</v>
      </c>
      <c r="I9" s="5">
        <v>4758</v>
      </c>
      <c r="J9" s="6" t="s">
        <v>62</v>
      </c>
      <c r="K9" s="2">
        <v>5987</v>
      </c>
      <c r="L9" s="2">
        <f>+K9*0.975</f>
        <v>5837.3249999999998</v>
      </c>
      <c r="M9" s="12">
        <f>+L9-K9</f>
        <v>-149.67500000000018</v>
      </c>
      <c r="N9" s="21">
        <f>+L9/K9</f>
        <v>0.97499999999999998</v>
      </c>
      <c r="O9" s="8">
        <f>+E9+P9+1+3</f>
        <v>46237.589197183683</v>
      </c>
      <c r="P9" s="25">
        <f>+L9/Q9</f>
        <v>15.589197183685373</v>
      </c>
      <c r="Q9" s="51">
        <f>630*40/60*0.975*0.9144</f>
        <v>374.4468</v>
      </c>
    </row>
    <row r="10" spans="1:17 3262:3267">
      <c r="A10" s="78">
        <v>7</v>
      </c>
      <c r="B10" s="77" t="s">
        <v>174</v>
      </c>
      <c r="C10" s="33" t="s">
        <v>284</v>
      </c>
      <c r="D10" s="31" t="s">
        <v>178</v>
      </c>
      <c r="E10" s="7">
        <v>46198</v>
      </c>
      <c r="F10" s="11" t="s">
        <v>282</v>
      </c>
      <c r="G10" s="11" t="s">
        <v>281</v>
      </c>
      <c r="H10" s="4" t="s">
        <v>0</v>
      </c>
      <c r="I10" s="5">
        <v>4758</v>
      </c>
      <c r="J10" s="6" t="s">
        <v>33</v>
      </c>
      <c r="K10" s="2">
        <v>8000</v>
      </c>
      <c r="L10" s="2">
        <f t="shared" si="0"/>
        <v>7800</v>
      </c>
      <c r="M10" s="12">
        <f t="shared" si="1"/>
        <v>-200</v>
      </c>
      <c r="N10" s="21">
        <f t="shared" si="2"/>
        <v>0.97499999999999998</v>
      </c>
      <c r="O10" s="56">
        <f>E10+P10+1+4</f>
        <v>46223.830729492147</v>
      </c>
      <c r="P10" s="25">
        <f t="shared" si="3"/>
        <v>20.830729492146816</v>
      </c>
      <c r="Q10" s="51">
        <f>630*40/60*0.975*0.9144</f>
        <v>374.4468</v>
      </c>
    </row>
    <row r="11" spans="1:17 3262:3267">
      <c r="A11" s="78">
        <v>8</v>
      </c>
      <c r="B11" s="77" t="s">
        <v>174</v>
      </c>
      <c r="C11" s="33" t="s">
        <v>284</v>
      </c>
      <c r="D11" s="31" t="s">
        <v>178</v>
      </c>
      <c r="E11" s="7">
        <v>46204</v>
      </c>
      <c r="F11" s="11" t="s">
        <v>282</v>
      </c>
      <c r="G11" s="11" t="s">
        <v>281</v>
      </c>
      <c r="H11" s="4" t="s">
        <v>0</v>
      </c>
      <c r="I11" s="5">
        <v>4758</v>
      </c>
      <c r="J11" s="6" t="s">
        <v>80</v>
      </c>
      <c r="K11" s="2">
        <v>8000</v>
      </c>
      <c r="L11" s="2">
        <f t="shared" ref="L11" si="6">+K11*0.975</f>
        <v>7800</v>
      </c>
      <c r="M11" s="12">
        <f t="shared" ref="M11" si="7">+L11-K11</f>
        <v>-200</v>
      </c>
      <c r="N11" s="21">
        <f t="shared" ref="N11" si="8">+L11/K11</f>
        <v>0.97499999999999998</v>
      </c>
      <c r="O11" s="56">
        <f>E11+P11+1+3</f>
        <v>46228.830729492147</v>
      </c>
      <c r="P11" s="25">
        <f t="shared" ref="P11" si="9">+L11/Q11</f>
        <v>20.830729492146816</v>
      </c>
      <c r="Q11" s="51">
        <f t="shared" ref="Q11" si="10">630*40/60*0.975*0.9144</f>
        <v>374.4468</v>
      </c>
    </row>
    <row r="12" spans="1:17 3262:3267">
      <c r="A12" s="78">
        <v>9</v>
      </c>
      <c r="B12" s="79" t="s">
        <v>174</v>
      </c>
      <c r="C12" s="67" t="s">
        <v>186</v>
      </c>
      <c r="D12" s="31" t="s">
        <v>178</v>
      </c>
      <c r="E12" s="7">
        <v>46193</v>
      </c>
      <c r="F12" s="86" t="s">
        <v>285</v>
      </c>
      <c r="G12" s="86" t="s">
        <v>283</v>
      </c>
      <c r="H12" s="86" t="s">
        <v>301</v>
      </c>
      <c r="I12" s="5">
        <v>4758</v>
      </c>
      <c r="J12" s="6" t="s">
        <v>197</v>
      </c>
      <c r="K12" s="2">
        <v>8000</v>
      </c>
      <c r="L12" s="2">
        <f>+K12*0.975</f>
        <v>7800</v>
      </c>
      <c r="M12" s="12">
        <f>+L12-K12</f>
        <v>-200</v>
      </c>
      <c r="N12" s="21">
        <f>+L12/K12</f>
        <v>0.97499999999999998</v>
      </c>
      <c r="O12" s="56">
        <f>E12+P12+1+4+3</f>
        <v>46221.830729492147</v>
      </c>
      <c r="P12" s="25">
        <f>+L12/Q12</f>
        <v>20.830729492146816</v>
      </c>
      <c r="Q12" s="51">
        <f>630*40/60*0.975*0.9144</f>
        <v>374.4468</v>
      </c>
    </row>
    <row r="13" spans="1:17 3262:3267">
      <c r="A13" s="78">
        <v>10</v>
      </c>
      <c r="B13" s="32" t="s">
        <v>174</v>
      </c>
      <c r="C13" s="32" t="s">
        <v>67</v>
      </c>
      <c r="D13" s="32" t="s">
        <v>178</v>
      </c>
      <c r="E13" s="7">
        <v>46197</v>
      </c>
      <c r="F13" s="4" t="s">
        <v>282</v>
      </c>
      <c r="G13" s="4" t="s">
        <v>281</v>
      </c>
      <c r="H13" s="3" t="s">
        <v>0</v>
      </c>
      <c r="I13" s="5">
        <v>4758</v>
      </c>
      <c r="J13" s="6" t="s">
        <v>259</v>
      </c>
      <c r="K13" s="2">
        <v>8000</v>
      </c>
      <c r="L13" s="2">
        <f t="shared" ref="L13:L14" si="11">+K13*0.975</f>
        <v>7800</v>
      </c>
      <c r="M13" s="2">
        <f t="shared" ref="M13:M14" si="12">+L13-K13</f>
        <v>-200</v>
      </c>
      <c r="N13" s="21">
        <f t="shared" ref="N13:N14" si="13">+L13/K13</f>
        <v>0.97499999999999998</v>
      </c>
      <c r="O13" s="56">
        <f>E13+P13+1+3</f>
        <v>46221.830729492147</v>
      </c>
      <c r="P13" s="24">
        <f t="shared" ref="P13:P14" si="14">+L13/Q13</f>
        <v>20.830729492146816</v>
      </c>
      <c r="Q13" s="51">
        <f t="shared" ref="Q13:Q14" si="15">630*40/60*0.975*0.9144</f>
        <v>374.4468</v>
      </c>
    </row>
    <row r="14" spans="1:17 3262:3267">
      <c r="A14" s="78">
        <v>11</v>
      </c>
      <c r="B14" s="77" t="s">
        <v>174</v>
      </c>
      <c r="C14" s="33" t="s">
        <v>284</v>
      </c>
      <c r="D14" s="31" t="s">
        <v>178</v>
      </c>
      <c r="E14" s="7">
        <v>46206</v>
      </c>
      <c r="F14" s="11" t="s">
        <v>368</v>
      </c>
      <c r="G14" s="11" t="s">
        <v>367</v>
      </c>
      <c r="H14" s="4" t="s">
        <v>0</v>
      </c>
      <c r="I14" s="5">
        <v>4758</v>
      </c>
      <c r="J14" s="6" t="s">
        <v>265</v>
      </c>
      <c r="K14" s="2">
        <v>8000</v>
      </c>
      <c r="L14" s="2">
        <f t="shared" si="11"/>
        <v>7800</v>
      </c>
      <c r="M14" s="12">
        <f t="shared" si="12"/>
        <v>-200</v>
      </c>
      <c r="N14" s="21">
        <f t="shared" si="13"/>
        <v>0.97499999999999998</v>
      </c>
      <c r="O14" s="56">
        <f>E14+P14+1+4</f>
        <v>46231.830729492147</v>
      </c>
      <c r="P14" s="25">
        <f t="shared" si="14"/>
        <v>20.830729492146816</v>
      </c>
      <c r="Q14" s="51">
        <f t="shared" si="15"/>
        <v>374.4468</v>
      </c>
    </row>
    <row r="15" spans="1:17 3262:3267">
      <c r="A15" s="78">
        <v>12</v>
      </c>
      <c r="B15" s="77" t="s">
        <v>174</v>
      </c>
      <c r="C15" s="33" t="s">
        <v>284</v>
      </c>
      <c r="D15" s="31" t="s">
        <v>178</v>
      </c>
      <c r="E15" s="7">
        <v>46204</v>
      </c>
      <c r="F15" s="11" t="s">
        <v>282</v>
      </c>
      <c r="G15" s="11" t="s">
        <v>281</v>
      </c>
      <c r="H15" s="4" t="s">
        <v>0</v>
      </c>
      <c r="I15" s="5">
        <v>4758</v>
      </c>
      <c r="J15" s="6" t="s">
        <v>41</v>
      </c>
      <c r="K15" s="2">
        <v>8000</v>
      </c>
      <c r="L15" s="2">
        <f t="shared" si="0"/>
        <v>7800</v>
      </c>
      <c r="M15" s="12">
        <f t="shared" si="1"/>
        <v>-200</v>
      </c>
      <c r="N15" s="21">
        <f t="shared" si="2"/>
        <v>0.97499999999999998</v>
      </c>
      <c r="O15" s="56">
        <f>E15+P15+1+3</f>
        <v>46228.830729492147</v>
      </c>
      <c r="P15" s="25">
        <f t="shared" si="3"/>
        <v>20.830729492146816</v>
      </c>
      <c r="Q15" s="51">
        <f t="shared" ref="Q15" si="16">630*40/60*0.975*0.9144</f>
        <v>374.4468</v>
      </c>
    </row>
    <row r="16" spans="1:17 3262:3267">
      <c r="A16" s="78">
        <v>13</v>
      </c>
      <c r="B16" s="77" t="s">
        <v>174</v>
      </c>
      <c r="C16" s="33" t="s">
        <v>284</v>
      </c>
      <c r="D16" s="31" t="s">
        <v>178</v>
      </c>
      <c r="E16" s="7">
        <v>46203</v>
      </c>
      <c r="F16" s="11" t="s">
        <v>282</v>
      </c>
      <c r="G16" s="11" t="s">
        <v>281</v>
      </c>
      <c r="H16" s="4" t="s">
        <v>0</v>
      </c>
      <c r="I16" s="5">
        <v>4758</v>
      </c>
      <c r="J16" s="6" t="s">
        <v>359</v>
      </c>
      <c r="K16" s="2">
        <v>8000</v>
      </c>
      <c r="L16" s="2">
        <f t="shared" si="0"/>
        <v>7800</v>
      </c>
      <c r="M16" s="12">
        <f t="shared" si="1"/>
        <v>-200</v>
      </c>
      <c r="N16" s="21">
        <f t="shared" si="2"/>
        <v>0.97499999999999998</v>
      </c>
      <c r="O16" s="56">
        <f>E16+P16+1+3</f>
        <v>46227.830729492147</v>
      </c>
      <c r="P16" s="25">
        <f t="shared" si="3"/>
        <v>20.830729492146816</v>
      </c>
      <c r="Q16" s="51">
        <f>630*40/60*0.975*0.9144</f>
        <v>374.4468</v>
      </c>
    </row>
    <row r="17" spans="1:17">
      <c r="A17" s="78">
        <v>14</v>
      </c>
      <c r="B17" s="54" t="s">
        <v>174</v>
      </c>
      <c r="C17" s="33" t="s">
        <v>75</v>
      </c>
      <c r="D17" s="31" t="s">
        <v>178</v>
      </c>
      <c r="E17" s="7">
        <v>46199</v>
      </c>
      <c r="F17" s="11" t="s">
        <v>282</v>
      </c>
      <c r="G17" s="11" t="s">
        <v>281</v>
      </c>
      <c r="H17" s="4" t="s">
        <v>0</v>
      </c>
      <c r="I17" s="5">
        <v>4758</v>
      </c>
      <c r="J17" s="6" t="s">
        <v>347</v>
      </c>
      <c r="K17" s="2">
        <v>8000</v>
      </c>
      <c r="L17" s="2">
        <f t="shared" si="0"/>
        <v>7800</v>
      </c>
      <c r="M17" s="12">
        <f t="shared" si="1"/>
        <v>-200</v>
      </c>
      <c r="N17" s="21">
        <f t="shared" si="2"/>
        <v>0.97499999999999998</v>
      </c>
      <c r="O17" s="56">
        <f>E17+P17+1+4</f>
        <v>46224.830729492147</v>
      </c>
      <c r="P17" s="25">
        <f t="shared" si="3"/>
        <v>20.830729492146816</v>
      </c>
      <c r="Q17" s="51">
        <f t="shared" ref="Q17" si="17">630*40/60*0.975*0.9144</f>
        <v>374.4468</v>
      </c>
    </row>
    <row r="18" spans="1:17">
      <c r="A18" s="78">
        <v>15</v>
      </c>
      <c r="B18" s="79" t="s">
        <v>174</v>
      </c>
      <c r="C18" s="67" t="s">
        <v>186</v>
      </c>
      <c r="D18" s="31" t="s">
        <v>178</v>
      </c>
      <c r="E18" s="7">
        <v>46192</v>
      </c>
      <c r="F18" s="86" t="s">
        <v>285</v>
      </c>
      <c r="G18" s="86" t="s">
        <v>283</v>
      </c>
      <c r="H18" s="86" t="s">
        <v>301</v>
      </c>
      <c r="I18" s="5">
        <v>4758</v>
      </c>
      <c r="J18" s="6" t="s">
        <v>264</v>
      </c>
      <c r="K18" s="2">
        <v>8000</v>
      </c>
      <c r="L18" s="2">
        <f>+K18*0.975</f>
        <v>7800</v>
      </c>
      <c r="M18" s="12">
        <f>+L18-K18</f>
        <v>-200</v>
      </c>
      <c r="N18" s="21">
        <f>+L18/K18</f>
        <v>0.97499999999999998</v>
      </c>
      <c r="O18" s="56">
        <f>E18+P18+1+4+3</f>
        <v>46220.830729492147</v>
      </c>
      <c r="P18" s="25">
        <f>+L18/Q18</f>
        <v>20.830729492146816</v>
      </c>
      <c r="Q18" s="51">
        <f>630*40/60*0.975*0.9144</f>
        <v>374.4468</v>
      </c>
    </row>
    <row r="19" spans="1:17">
      <c r="A19" s="78">
        <v>16</v>
      </c>
      <c r="B19" s="79" t="s">
        <v>174</v>
      </c>
      <c r="C19" s="67" t="s">
        <v>186</v>
      </c>
      <c r="D19" s="31" t="s">
        <v>178</v>
      </c>
      <c r="E19" s="7">
        <v>46209</v>
      </c>
      <c r="F19" s="86" t="s">
        <v>285</v>
      </c>
      <c r="G19" s="86" t="s">
        <v>283</v>
      </c>
      <c r="H19" s="86" t="s">
        <v>301</v>
      </c>
      <c r="I19" s="5">
        <v>4758</v>
      </c>
      <c r="J19" s="6" t="s">
        <v>257</v>
      </c>
      <c r="K19" s="2">
        <v>8000</v>
      </c>
      <c r="L19" s="2">
        <f>+K19*0.975</f>
        <v>7800</v>
      </c>
      <c r="M19" s="12">
        <f>+L19-K19</f>
        <v>-200</v>
      </c>
      <c r="N19" s="21">
        <f>+L19/K19</f>
        <v>0.97499999999999998</v>
      </c>
      <c r="O19" s="8">
        <f>+E19+P19+1+3</f>
        <v>46233.830729492147</v>
      </c>
      <c r="P19" s="25">
        <f>+L19/Q19</f>
        <v>20.830729492146816</v>
      </c>
      <c r="Q19" s="51">
        <f>630*40/60*0.975*0.9144</f>
        <v>374.4468</v>
      </c>
    </row>
    <row r="20" spans="1:17">
      <c r="A20" s="78">
        <v>17</v>
      </c>
      <c r="B20" s="77" t="s">
        <v>174</v>
      </c>
      <c r="C20" s="33" t="s">
        <v>284</v>
      </c>
      <c r="D20" s="31" t="s">
        <v>178</v>
      </c>
      <c r="E20" s="7">
        <v>46205</v>
      </c>
      <c r="F20" s="11" t="s">
        <v>282</v>
      </c>
      <c r="G20" s="11" t="s">
        <v>281</v>
      </c>
      <c r="H20" s="4" t="s">
        <v>0</v>
      </c>
      <c r="I20" s="5">
        <v>4758</v>
      </c>
      <c r="J20" s="6" t="s">
        <v>71</v>
      </c>
      <c r="K20" s="2">
        <v>8000</v>
      </c>
      <c r="L20" s="2">
        <f t="shared" si="0"/>
        <v>7800</v>
      </c>
      <c r="M20" s="12">
        <f t="shared" si="1"/>
        <v>-200</v>
      </c>
      <c r="N20" s="21">
        <f t="shared" si="2"/>
        <v>0.97499999999999998</v>
      </c>
      <c r="O20" s="56">
        <f>E20+P20+1+3</f>
        <v>46229.830729492147</v>
      </c>
      <c r="P20" s="25">
        <f t="shared" si="3"/>
        <v>20.830729492146816</v>
      </c>
      <c r="Q20" s="51">
        <f t="shared" ref="Q20:Q30" si="18">630*40/60*0.975*0.9144</f>
        <v>374.4468</v>
      </c>
    </row>
    <row r="21" spans="1:17">
      <c r="A21" s="78">
        <v>18</v>
      </c>
      <c r="B21" s="79" t="s">
        <v>174</v>
      </c>
      <c r="C21" s="67" t="s">
        <v>186</v>
      </c>
      <c r="D21" s="31" t="s">
        <v>178</v>
      </c>
      <c r="E21" s="7">
        <v>46198</v>
      </c>
      <c r="F21" s="86" t="s">
        <v>285</v>
      </c>
      <c r="G21" s="86" t="s">
        <v>283</v>
      </c>
      <c r="H21" s="86" t="s">
        <v>301</v>
      </c>
      <c r="I21" s="5">
        <v>4758</v>
      </c>
      <c r="J21" s="6" t="s">
        <v>122</v>
      </c>
      <c r="K21" s="2">
        <v>8000</v>
      </c>
      <c r="L21" s="2">
        <f t="shared" si="0"/>
        <v>7800</v>
      </c>
      <c r="M21" s="12">
        <f t="shared" si="1"/>
        <v>-200</v>
      </c>
      <c r="N21" s="21">
        <f t="shared" si="2"/>
        <v>0.97499999999999998</v>
      </c>
      <c r="O21" s="56">
        <f>E21+P21+1+4+4</f>
        <v>46227.830729492147</v>
      </c>
      <c r="P21" s="25">
        <f t="shared" si="3"/>
        <v>20.830729492146816</v>
      </c>
      <c r="Q21" s="51">
        <f t="shared" si="18"/>
        <v>374.4468</v>
      </c>
    </row>
    <row r="22" spans="1:17">
      <c r="A22" s="78">
        <v>19</v>
      </c>
      <c r="B22" s="77" t="s">
        <v>174</v>
      </c>
      <c r="C22" s="33" t="s">
        <v>284</v>
      </c>
      <c r="D22" s="31" t="s">
        <v>178</v>
      </c>
      <c r="E22" s="7">
        <v>46209</v>
      </c>
      <c r="F22" s="11" t="s">
        <v>368</v>
      </c>
      <c r="G22" s="11" t="s">
        <v>367</v>
      </c>
      <c r="H22" s="4" t="s">
        <v>0</v>
      </c>
      <c r="I22" s="5">
        <v>4758</v>
      </c>
      <c r="J22" s="6" t="s">
        <v>35</v>
      </c>
      <c r="K22" s="2">
        <v>8000</v>
      </c>
      <c r="L22" s="2">
        <f t="shared" si="0"/>
        <v>7800</v>
      </c>
      <c r="M22" s="12">
        <f t="shared" si="1"/>
        <v>-200</v>
      </c>
      <c r="N22" s="21">
        <f t="shared" si="2"/>
        <v>0.97499999999999998</v>
      </c>
      <c r="O22" s="8">
        <f>+E22+P22+1+3</f>
        <v>46233.830729492147</v>
      </c>
      <c r="P22" s="25">
        <f t="shared" si="3"/>
        <v>20.830729492146816</v>
      </c>
      <c r="Q22" s="51">
        <f t="shared" si="18"/>
        <v>374.4468</v>
      </c>
    </row>
    <row r="23" spans="1:17" s="55" customFormat="1">
      <c r="A23" s="78">
        <v>20</v>
      </c>
      <c r="B23" s="32" t="s">
        <v>174</v>
      </c>
      <c r="C23" s="32" t="s">
        <v>67</v>
      </c>
      <c r="D23" s="32" t="s">
        <v>178</v>
      </c>
      <c r="E23" s="7">
        <v>46197</v>
      </c>
      <c r="F23" s="4" t="s">
        <v>282</v>
      </c>
      <c r="G23" s="4" t="s">
        <v>281</v>
      </c>
      <c r="H23" s="3" t="s">
        <v>0</v>
      </c>
      <c r="I23" s="5">
        <v>4758</v>
      </c>
      <c r="J23" s="6" t="s">
        <v>345</v>
      </c>
      <c r="K23" s="2">
        <v>8000</v>
      </c>
      <c r="L23" s="2">
        <f t="shared" si="0"/>
        <v>7800</v>
      </c>
      <c r="M23" s="2">
        <f t="shared" si="1"/>
        <v>-200</v>
      </c>
      <c r="N23" s="21">
        <f t="shared" si="2"/>
        <v>0.97499999999999998</v>
      </c>
      <c r="O23" s="56">
        <f>E23+P23+1+3</f>
        <v>46221.830729492147</v>
      </c>
      <c r="P23" s="24">
        <f t="shared" si="3"/>
        <v>20.830729492146816</v>
      </c>
      <c r="Q23" s="51">
        <f>630*40/60*0.975*0.9144</f>
        <v>374.4468</v>
      </c>
    </row>
    <row r="24" spans="1:17">
      <c r="A24" s="78">
        <v>21</v>
      </c>
      <c r="B24" s="79" t="s">
        <v>174</v>
      </c>
      <c r="C24" s="67" t="s">
        <v>186</v>
      </c>
      <c r="D24" s="31" t="s">
        <v>178</v>
      </c>
      <c r="E24" s="8">
        <v>46188</v>
      </c>
      <c r="F24" s="86" t="s">
        <v>285</v>
      </c>
      <c r="G24" s="86" t="s">
        <v>283</v>
      </c>
      <c r="H24" s="86" t="s">
        <v>301</v>
      </c>
      <c r="I24" s="5">
        <v>4758</v>
      </c>
      <c r="J24" s="6" t="s">
        <v>28</v>
      </c>
      <c r="K24" s="2">
        <v>8000</v>
      </c>
      <c r="L24" s="2">
        <f>+K24*0.975</f>
        <v>7800</v>
      </c>
      <c r="M24" s="12">
        <f>+L24-K24</f>
        <v>-200</v>
      </c>
      <c r="N24" s="21">
        <f>+L24/K24</f>
        <v>0.97499999999999998</v>
      </c>
      <c r="O24" s="8">
        <f>+E24+P24+1+3+8</f>
        <v>46220.830729492147</v>
      </c>
      <c r="P24" s="25">
        <f>+L24/Q24</f>
        <v>20.830729492146816</v>
      </c>
      <c r="Q24" s="51">
        <f>630*40/60*0.975*0.9144</f>
        <v>374.4468</v>
      </c>
    </row>
    <row r="25" spans="1:17">
      <c r="A25" s="78">
        <v>22</v>
      </c>
      <c r="B25" s="77" t="s">
        <v>174</v>
      </c>
      <c r="C25" s="33" t="s">
        <v>284</v>
      </c>
      <c r="D25" s="31" t="s">
        <v>178</v>
      </c>
      <c r="E25" s="7">
        <v>46209</v>
      </c>
      <c r="F25" s="11" t="s">
        <v>368</v>
      </c>
      <c r="G25" s="11" t="s">
        <v>367</v>
      </c>
      <c r="H25" s="4" t="s">
        <v>0</v>
      </c>
      <c r="I25" s="5">
        <v>4758</v>
      </c>
      <c r="J25" s="6" t="s">
        <v>276</v>
      </c>
      <c r="K25" s="2">
        <v>8000</v>
      </c>
      <c r="L25" s="2">
        <f t="shared" ref="L25:L27" si="19">+K25*0.975</f>
        <v>7800</v>
      </c>
      <c r="M25" s="12">
        <f t="shared" ref="M25:M27" si="20">+L25-K25</f>
        <v>-200</v>
      </c>
      <c r="N25" s="21">
        <f t="shared" ref="N25:N27" si="21">+L25/K25</f>
        <v>0.97499999999999998</v>
      </c>
      <c r="O25" s="8">
        <f>+E25+P25+1+3</f>
        <v>46233.830729492147</v>
      </c>
      <c r="P25" s="25">
        <f t="shared" ref="P25:P27" si="22">+L25/Q25</f>
        <v>20.830729492146816</v>
      </c>
      <c r="Q25" s="51">
        <f t="shared" ref="Q25" si="23">630*40/60*0.975*0.9144</f>
        <v>374.4468</v>
      </c>
    </row>
    <row r="26" spans="1:17">
      <c r="A26" s="78">
        <v>23</v>
      </c>
      <c r="B26" s="32" t="s">
        <v>174</v>
      </c>
      <c r="C26" s="32" t="s">
        <v>67</v>
      </c>
      <c r="D26" s="32" t="s">
        <v>178</v>
      </c>
      <c r="E26" s="7">
        <v>46197</v>
      </c>
      <c r="F26" s="4" t="s">
        <v>282</v>
      </c>
      <c r="G26" s="4" t="s">
        <v>281</v>
      </c>
      <c r="H26" s="3" t="s">
        <v>0</v>
      </c>
      <c r="I26" s="5">
        <v>4758</v>
      </c>
      <c r="J26" s="6" t="s">
        <v>202</v>
      </c>
      <c r="K26" s="2">
        <v>8000</v>
      </c>
      <c r="L26" s="2">
        <f t="shared" si="19"/>
        <v>7800</v>
      </c>
      <c r="M26" s="2">
        <f t="shared" si="20"/>
        <v>-200</v>
      </c>
      <c r="N26" s="21">
        <f t="shared" si="21"/>
        <v>0.97499999999999998</v>
      </c>
      <c r="O26" s="56">
        <f>E26+P26+1+3</f>
        <v>46221.830729492147</v>
      </c>
      <c r="P26" s="24">
        <f t="shared" si="22"/>
        <v>20.830729492146816</v>
      </c>
      <c r="Q26" s="51">
        <f>630*40/60*0.975*0.9144</f>
        <v>374.4468</v>
      </c>
    </row>
    <row r="27" spans="1:17">
      <c r="A27" s="78">
        <v>24</v>
      </c>
      <c r="B27" s="77" t="s">
        <v>174</v>
      </c>
      <c r="C27" s="33" t="s">
        <v>284</v>
      </c>
      <c r="D27" s="31" t="s">
        <v>178</v>
      </c>
      <c r="E27" s="7">
        <v>46219</v>
      </c>
      <c r="F27" s="11" t="s">
        <v>368</v>
      </c>
      <c r="G27" s="11" t="s">
        <v>367</v>
      </c>
      <c r="H27" s="4" t="s">
        <v>0</v>
      </c>
      <c r="I27" s="5">
        <v>4758</v>
      </c>
      <c r="J27" s="6" t="s">
        <v>109</v>
      </c>
      <c r="K27" s="2">
        <v>8000</v>
      </c>
      <c r="L27" s="2">
        <f t="shared" si="19"/>
        <v>7800</v>
      </c>
      <c r="M27" s="12">
        <f t="shared" si="20"/>
        <v>-200</v>
      </c>
      <c r="N27" s="21">
        <f t="shared" si="21"/>
        <v>0.97499999999999998</v>
      </c>
      <c r="O27" s="8">
        <f>+E27+P27+1+4</f>
        <v>46244.830729492147</v>
      </c>
      <c r="P27" s="25">
        <f t="shared" si="22"/>
        <v>20.830729492146816</v>
      </c>
      <c r="Q27" s="51">
        <f t="shared" ref="Q27" si="24">630*40/60*0.975*0.9144</f>
        <v>374.4468</v>
      </c>
    </row>
    <row r="28" spans="1:17">
      <c r="A28" s="78">
        <v>25</v>
      </c>
      <c r="B28" s="77" t="s">
        <v>174</v>
      </c>
      <c r="C28" s="33" t="s">
        <v>284</v>
      </c>
      <c r="D28" s="31" t="s">
        <v>178</v>
      </c>
      <c r="E28" s="7">
        <v>46214</v>
      </c>
      <c r="F28" s="11" t="s">
        <v>368</v>
      </c>
      <c r="G28" s="11" t="s">
        <v>367</v>
      </c>
      <c r="H28" s="4" t="s">
        <v>0</v>
      </c>
      <c r="I28" s="5">
        <v>4758</v>
      </c>
      <c r="J28" s="6" t="s">
        <v>229</v>
      </c>
      <c r="K28" s="2">
        <v>8000</v>
      </c>
      <c r="L28" s="2">
        <f t="shared" si="0"/>
        <v>7800</v>
      </c>
      <c r="M28" s="12">
        <f t="shared" si="1"/>
        <v>-200</v>
      </c>
      <c r="N28" s="21">
        <f t="shared" si="2"/>
        <v>0.97499999999999998</v>
      </c>
      <c r="O28" s="8">
        <f>+E28+P28+1+4</f>
        <v>46239.830729492147</v>
      </c>
      <c r="P28" s="25">
        <f t="shared" si="3"/>
        <v>20.830729492146816</v>
      </c>
      <c r="Q28" s="51">
        <f t="shared" si="18"/>
        <v>374.4468</v>
      </c>
    </row>
    <row r="29" spans="1:17">
      <c r="A29" s="78">
        <v>26</v>
      </c>
      <c r="B29" s="77" t="s">
        <v>174</v>
      </c>
      <c r="C29" s="33" t="s">
        <v>284</v>
      </c>
      <c r="D29" s="31" t="s">
        <v>178</v>
      </c>
      <c r="E29" s="7">
        <v>46216</v>
      </c>
      <c r="F29" s="11" t="s">
        <v>368</v>
      </c>
      <c r="G29" s="11" t="s">
        <v>367</v>
      </c>
      <c r="H29" s="4" t="s">
        <v>0</v>
      </c>
      <c r="I29" s="5">
        <v>4758</v>
      </c>
      <c r="J29" s="6" t="s">
        <v>137</v>
      </c>
      <c r="K29" s="2">
        <v>8000</v>
      </c>
      <c r="L29" s="2">
        <f t="shared" si="0"/>
        <v>7800</v>
      </c>
      <c r="M29" s="12">
        <f t="shared" si="1"/>
        <v>-200</v>
      </c>
      <c r="N29" s="21">
        <f t="shared" si="2"/>
        <v>0.97499999999999998</v>
      </c>
      <c r="O29" s="8">
        <f>+E29+P29+1+3</f>
        <v>46240.830729492147</v>
      </c>
      <c r="P29" s="25">
        <f t="shared" si="3"/>
        <v>20.830729492146816</v>
      </c>
      <c r="Q29" s="51">
        <f t="shared" si="18"/>
        <v>374.4468</v>
      </c>
    </row>
    <row r="30" spans="1:17">
      <c r="A30" s="78">
        <v>27</v>
      </c>
      <c r="B30" s="77" t="s">
        <v>174</v>
      </c>
      <c r="C30" s="33" t="s">
        <v>284</v>
      </c>
      <c r="D30" s="31" t="s">
        <v>178</v>
      </c>
      <c r="E30" s="7">
        <v>46211</v>
      </c>
      <c r="F30" s="11" t="s">
        <v>368</v>
      </c>
      <c r="G30" s="11" t="s">
        <v>367</v>
      </c>
      <c r="H30" s="4" t="s">
        <v>0</v>
      </c>
      <c r="I30" s="5">
        <v>4758</v>
      </c>
      <c r="J30" s="6" t="s">
        <v>19</v>
      </c>
      <c r="K30" s="2">
        <v>8000</v>
      </c>
      <c r="L30" s="2">
        <f t="shared" ref="L30" si="25">+K30*0.975</f>
        <v>7800</v>
      </c>
      <c r="M30" s="12">
        <f t="shared" ref="M30" si="26">+L30-K30</f>
        <v>-200</v>
      </c>
      <c r="N30" s="21">
        <f t="shared" ref="N30" si="27">+L30/K30</f>
        <v>0.97499999999999998</v>
      </c>
      <c r="O30" s="56">
        <f>E30+P30+1+3</f>
        <v>46235.830729492147</v>
      </c>
      <c r="P30" s="25">
        <f t="shared" ref="P30" si="28">+L30/Q30</f>
        <v>20.830729492146816</v>
      </c>
      <c r="Q30" s="51">
        <f t="shared" si="18"/>
        <v>374.4468</v>
      </c>
    </row>
    <row r="31" spans="1:17">
      <c r="A31" s="78">
        <v>28</v>
      </c>
      <c r="B31" s="32" t="s">
        <v>174</v>
      </c>
      <c r="C31" s="32" t="s">
        <v>67</v>
      </c>
      <c r="D31" s="32" t="s">
        <v>178</v>
      </c>
      <c r="E31" s="7">
        <v>46203</v>
      </c>
      <c r="F31" s="4" t="s">
        <v>282</v>
      </c>
      <c r="G31" s="4" t="s">
        <v>281</v>
      </c>
      <c r="H31" s="3" t="s">
        <v>0</v>
      </c>
      <c r="I31" s="5">
        <v>4758</v>
      </c>
      <c r="J31" s="6" t="s">
        <v>90</v>
      </c>
      <c r="K31" s="2">
        <v>8000</v>
      </c>
      <c r="L31" s="2">
        <f t="shared" ref="L31" si="29">+K31*0.975</f>
        <v>7800</v>
      </c>
      <c r="M31" s="2">
        <f t="shared" ref="M31" si="30">+L31-K31</f>
        <v>-200</v>
      </c>
      <c r="N31" s="21">
        <f t="shared" ref="N31" si="31">+L31/K31</f>
        <v>0.97499999999999998</v>
      </c>
      <c r="O31" s="56">
        <f>E31+P31+1+3</f>
        <v>46227.830729492147</v>
      </c>
      <c r="P31" s="24">
        <f t="shared" ref="P31" si="32">+L31/Q31</f>
        <v>20.830729492146816</v>
      </c>
      <c r="Q31" s="51">
        <f t="shared" ref="Q31" si="33">630*40/60*0.975*0.9144</f>
        <v>374.4468</v>
      </c>
    </row>
    <row r="32" spans="1:17">
      <c r="A32" s="78">
        <v>29</v>
      </c>
      <c r="B32" s="79" t="s">
        <v>174</v>
      </c>
      <c r="C32" s="67" t="s">
        <v>186</v>
      </c>
      <c r="D32" s="31" t="s">
        <v>178</v>
      </c>
      <c r="E32" s="7">
        <v>46198</v>
      </c>
      <c r="F32" s="86" t="s">
        <v>285</v>
      </c>
      <c r="G32" s="86" t="s">
        <v>283</v>
      </c>
      <c r="H32" s="86" t="s">
        <v>301</v>
      </c>
      <c r="I32" s="5">
        <v>4758</v>
      </c>
      <c r="J32" s="6" t="s">
        <v>58</v>
      </c>
      <c r="K32" s="2">
        <v>8000</v>
      </c>
      <c r="L32" s="2">
        <f>+K32*0.975</f>
        <v>7800</v>
      </c>
      <c r="M32" s="12">
        <f>+L32-K32</f>
        <v>-200</v>
      </c>
      <c r="N32" s="21">
        <f>+L32/K32</f>
        <v>0.97499999999999998</v>
      </c>
      <c r="O32" s="56">
        <f>E32+P32+1+4+8</f>
        <v>46231.830729492147</v>
      </c>
      <c r="P32" s="25">
        <f>+L32/Q32</f>
        <v>20.830729492146816</v>
      </c>
      <c r="Q32" s="51">
        <f>630*40/60*0.975*0.9144</f>
        <v>374.4468</v>
      </c>
    </row>
    <row r="33" spans="1:21">
      <c r="A33" s="78">
        <v>30</v>
      </c>
      <c r="B33" s="77" t="s">
        <v>174</v>
      </c>
      <c r="C33" s="33" t="s">
        <v>284</v>
      </c>
      <c r="D33" s="31" t="s">
        <v>178</v>
      </c>
      <c r="E33" s="7">
        <v>46220</v>
      </c>
      <c r="F33" s="11" t="s">
        <v>368</v>
      </c>
      <c r="G33" s="11" t="s">
        <v>367</v>
      </c>
      <c r="H33" s="4" t="s">
        <v>0</v>
      </c>
      <c r="I33" s="5">
        <v>4758</v>
      </c>
      <c r="J33" s="6" t="s">
        <v>313</v>
      </c>
      <c r="K33" s="2">
        <v>8000</v>
      </c>
      <c r="L33" s="2">
        <f t="shared" ref="L33" si="34">+K33*0.975</f>
        <v>7800</v>
      </c>
      <c r="M33" s="12">
        <f t="shared" ref="M33" si="35">+L33-K33</f>
        <v>-200</v>
      </c>
      <c r="N33" s="21">
        <f t="shared" ref="N33" si="36">+L33/K33</f>
        <v>0.97499999999999998</v>
      </c>
      <c r="O33" s="8">
        <f>+E33+P33+1+4</f>
        <v>46245.830729492147</v>
      </c>
      <c r="P33" s="25">
        <f t="shared" ref="P33" si="37">+L33/Q33</f>
        <v>20.830729492146816</v>
      </c>
      <c r="Q33" s="51">
        <f t="shared" ref="Q33" si="38">630*40/60*0.975*0.9144</f>
        <v>374.4468</v>
      </c>
    </row>
    <row r="34" spans="1:21">
      <c r="A34" s="78">
        <v>31</v>
      </c>
      <c r="B34" s="77" t="s">
        <v>174</v>
      </c>
      <c r="C34" s="33" t="s">
        <v>284</v>
      </c>
      <c r="D34" s="31" t="s">
        <v>178</v>
      </c>
      <c r="E34" s="7">
        <v>46219</v>
      </c>
      <c r="F34" s="11" t="s">
        <v>368</v>
      </c>
      <c r="G34" s="11" t="s">
        <v>367</v>
      </c>
      <c r="H34" s="4" t="s">
        <v>0</v>
      </c>
      <c r="I34" s="5">
        <v>4758</v>
      </c>
      <c r="J34" s="6" t="s">
        <v>77</v>
      </c>
      <c r="K34" s="2">
        <v>8000</v>
      </c>
      <c r="L34" s="2">
        <f t="shared" ref="L34:L35" si="39">+K34*0.975</f>
        <v>7800</v>
      </c>
      <c r="M34" s="12">
        <f t="shared" ref="M34:M35" si="40">+L34-K34</f>
        <v>-200</v>
      </c>
      <c r="N34" s="21">
        <f t="shared" ref="N34:N35" si="41">+L34/K34</f>
        <v>0.97499999999999998</v>
      </c>
      <c r="O34" s="8">
        <f>+E34+P34+1+4</f>
        <v>46244.830729492147</v>
      </c>
      <c r="P34" s="25">
        <f t="shared" ref="P34:P35" si="42">+L34/Q34</f>
        <v>20.830729492146816</v>
      </c>
      <c r="Q34" s="51">
        <f t="shared" ref="Q34:Q35" si="43">630*40/60*0.975*0.9144</f>
        <v>374.4468</v>
      </c>
    </row>
    <row r="35" spans="1:21">
      <c r="A35" s="78">
        <v>32</v>
      </c>
      <c r="B35" s="77" t="s">
        <v>174</v>
      </c>
      <c r="C35" s="33" t="s">
        <v>284</v>
      </c>
      <c r="D35" s="31" t="s">
        <v>178</v>
      </c>
      <c r="E35" s="7">
        <v>46220</v>
      </c>
      <c r="F35" s="11" t="s">
        <v>368</v>
      </c>
      <c r="G35" s="11" t="s">
        <v>367</v>
      </c>
      <c r="H35" s="4" t="s">
        <v>0</v>
      </c>
      <c r="I35" s="5">
        <v>4758</v>
      </c>
      <c r="J35" s="6" t="s">
        <v>403</v>
      </c>
      <c r="K35" s="2">
        <v>8000</v>
      </c>
      <c r="L35" s="2">
        <f t="shared" si="39"/>
        <v>7800</v>
      </c>
      <c r="M35" s="12">
        <f t="shared" si="40"/>
        <v>-200</v>
      </c>
      <c r="N35" s="21">
        <f t="shared" si="41"/>
        <v>0.97499999999999998</v>
      </c>
      <c r="O35" s="8">
        <f t="shared" ref="O35:O36" si="44">+E35+P35+1+4</f>
        <v>46245.830729492147</v>
      </c>
      <c r="P35" s="25">
        <f t="shared" si="42"/>
        <v>20.830729492146816</v>
      </c>
      <c r="Q35" s="51">
        <f t="shared" si="43"/>
        <v>374.4468</v>
      </c>
    </row>
    <row r="36" spans="1:21">
      <c r="A36" s="78">
        <v>33</v>
      </c>
      <c r="B36" s="79" t="s">
        <v>174</v>
      </c>
      <c r="C36" s="67" t="s">
        <v>186</v>
      </c>
      <c r="D36" s="31" t="s">
        <v>178</v>
      </c>
      <c r="E36" s="7">
        <v>46220</v>
      </c>
      <c r="F36" s="86" t="s">
        <v>285</v>
      </c>
      <c r="G36" s="86" t="s">
        <v>283</v>
      </c>
      <c r="H36" s="86" t="s">
        <v>301</v>
      </c>
      <c r="I36" s="5">
        <v>4758</v>
      </c>
      <c r="J36" s="6" t="s">
        <v>291</v>
      </c>
      <c r="K36" s="2">
        <v>8000</v>
      </c>
      <c r="L36" s="2">
        <f>+K36*0.975</f>
        <v>7800</v>
      </c>
      <c r="M36" s="12">
        <f>+L36-K36</f>
        <v>-200</v>
      </c>
      <c r="N36" s="21">
        <f>+L36/K36</f>
        <v>0.97499999999999998</v>
      </c>
      <c r="O36" s="8">
        <f t="shared" si="44"/>
        <v>46245.830729492147</v>
      </c>
      <c r="P36" s="25">
        <f>+L36/Q36</f>
        <v>20.830729492146816</v>
      </c>
      <c r="Q36" s="51">
        <f>630*40/60*0.975*0.9144</f>
        <v>374.4468</v>
      </c>
    </row>
    <row r="37" spans="1:21">
      <c r="A37" s="78">
        <v>34</v>
      </c>
      <c r="B37" s="79" t="s">
        <v>174</v>
      </c>
      <c r="C37" s="67" t="s">
        <v>186</v>
      </c>
      <c r="D37" s="31" t="s">
        <v>178</v>
      </c>
      <c r="E37" s="7">
        <v>46192</v>
      </c>
      <c r="F37" s="86" t="s">
        <v>285</v>
      </c>
      <c r="G37" s="86" t="s">
        <v>283</v>
      </c>
      <c r="H37" s="86" t="s">
        <v>301</v>
      </c>
      <c r="I37" s="5">
        <v>4758</v>
      </c>
      <c r="J37" s="6" t="s">
        <v>65</v>
      </c>
      <c r="K37" s="2">
        <v>8000</v>
      </c>
      <c r="L37" s="2">
        <f>+K37*0.975</f>
        <v>7800</v>
      </c>
      <c r="M37" s="12">
        <f>+L37-K37</f>
        <v>-200</v>
      </c>
      <c r="N37" s="21">
        <f>+L37/K37</f>
        <v>0.97499999999999998</v>
      </c>
      <c r="O37" s="56">
        <f>E37+P37+1+4+4</f>
        <v>46221.830729492147</v>
      </c>
      <c r="P37" s="25">
        <f>+L37/Q37</f>
        <v>20.830729492146816</v>
      </c>
      <c r="Q37" s="51">
        <f>630*40/60*0.975*0.9144</f>
        <v>374.4468</v>
      </c>
    </row>
    <row r="38" spans="1:21">
      <c r="A38" s="78">
        <v>35</v>
      </c>
      <c r="B38" s="79" t="s">
        <v>174</v>
      </c>
      <c r="C38" s="67" t="s">
        <v>186</v>
      </c>
      <c r="D38" s="31" t="s">
        <v>178</v>
      </c>
      <c r="E38" s="7">
        <v>46192</v>
      </c>
      <c r="F38" s="86" t="s">
        <v>285</v>
      </c>
      <c r="G38" s="86" t="s">
        <v>283</v>
      </c>
      <c r="H38" s="86" t="s">
        <v>301</v>
      </c>
      <c r="I38" s="5">
        <v>4758</v>
      </c>
      <c r="J38" s="6" t="s">
        <v>72</v>
      </c>
      <c r="K38" s="2">
        <v>8000</v>
      </c>
      <c r="L38" s="2">
        <f>+K38*0.975</f>
        <v>7800</v>
      </c>
      <c r="M38" s="12">
        <f>+L38-K38</f>
        <v>-200</v>
      </c>
      <c r="N38" s="21">
        <f>+L38/K38</f>
        <v>0.97499999999999998</v>
      </c>
      <c r="O38" s="56">
        <f>E38+P38+1+4+4</f>
        <v>46221.830729492147</v>
      </c>
      <c r="P38" s="25">
        <f>+L38/Q38</f>
        <v>20.830729492146816</v>
      </c>
      <c r="Q38" s="51">
        <f>630*40/60*0.975*0.9144</f>
        <v>374.4468</v>
      </c>
    </row>
    <row r="39" spans="1:21">
      <c r="A39" s="78">
        <v>36</v>
      </c>
      <c r="B39" s="77" t="s">
        <v>174</v>
      </c>
      <c r="C39" s="33" t="s">
        <v>284</v>
      </c>
      <c r="D39" s="31" t="s">
        <v>178</v>
      </c>
      <c r="E39" s="7">
        <v>46212</v>
      </c>
      <c r="F39" s="11" t="s">
        <v>368</v>
      </c>
      <c r="G39" s="11" t="s">
        <v>367</v>
      </c>
      <c r="H39" s="4" t="s">
        <v>0</v>
      </c>
      <c r="I39" s="5">
        <v>4758</v>
      </c>
      <c r="J39" s="6" t="s">
        <v>43</v>
      </c>
      <c r="K39" s="2">
        <v>8000</v>
      </c>
      <c r="L39" s="2">
        <f t="shared" ref="L39" si="45">+K39*0.975</f>
        <v>7800</v>
      </c>
      <c r="M39" s="12">
        <f t="shared" ref="M39" si="46">+L39-K39</f>
        <v>-200</v>
      </c>
      <c r="N39" s="21">
        <f t="shared" ref="N39" si="47">+L39/K39</f>
        <v>0.97499999999999998</v>
      </c>
      <c r="O39" s="8">
        <f>+E39+P39+1+4</f>
        <v>46237.830729492147</v>
      </c>
      <c r="P39" s="25">
        <f t="shared" ref="P39" si="48">+L39/Q39</f>
        <v>20.830729492146816</v>
      </c>
      <c r="Q39" s="51">
        <f t="shared" ref="Q39" si="49">630*40/60*0.975*0.9144</f>
        <v>374.4468</v>
      </c>
      <c r="U39" s="90"/>
    </row>
    <row r="40" spans="1:21">
      <c r="A40" s="78">
        <v>37</v>
      </c>
      <c r="B40" s="79" t="s">
        <v>174</v>
      </c>
      <c r="C40" s="67" t="s">
        <v>186</v>
      </c>
      <c r="D40" s="31" t="s">
        <v>178</v>
      </c>
      <c r="E40" s="7">
        <v>46219</v>
      </c>
      <c r="F40" s="86" t="s">
        <v>285</v>
      </c>
      <c r="G40" s="86" t="s">
        <v>283</v>
      </c>
      <c r="H40" s="86" t="s">
        <v>301</v>
      </c>
      <c r="I40" s="5">
        <v>4758</v>
      </c>
      <c r="J40" s="6" t="s">
        <v>372</v>
      </c>
      <c r="K40" s="2">
        <v>6161</v>
      </c>
      <c r="L40" s="2">
        <f>+K40*0.975</f>
        <v>6006.9749999999995</v>
      </c>
      <c r="M40" s="12">
        <f>+L40-K40</f>
        <v>-154.02500000000055</v>
      </c>
      <c r="N40" s="21">
        <f>+L40/K40</f>
        <v>0.97499999999999987</v>
      </c>
      <c r="O40" s="8">
        <f>+E40+P40+1+3</f>
        <v>46239.042265550139</v>
      </c>
      <c r="P40" s="25">
        <f>+L40/Q40</f>
        <v>16.042265550139565</v>
      </c>
      <c r="Q40" s="51">
        <f>630*40/60*0.975*0.9144</f>
        <v>374.4468</v>
      </c>
    </row>
    <row r="41" spans="1:21">
      <c r="A41" s="78">
        <v>38</v>
      </c>
      <c r="B41" s="79" t="s">
        <v>174</v>
      </c>
      <c r="C41" s="67" t="s">
        <v>186</v>
      </c>
      <c r="D41" s="31" t="s">
        <v>178</v>
      </c>
      <c r="E41" s="7">
        <v>46191</v>
      </c>
      <c r="F41" s="86" t="s">
        <v>285</v>
      </c>
      <c r="G41" s="86" t="s">
        <v>283</v>
      </c>
      <c r="H41" s="86" t="s">
        <v>301</v>
      </c>
      <c r="I41" s="5">
        <v>4758</v>
      </c>
      <c r="J41" s="6" t="s">
        <v>220</v>
      </c>
      <c r="K41" s="2">
        <v>7700</v>
      </c>
      <c r="L41" s="2">
        <f>+K41*0.975</f>
        <v>7507.5</v>
      </c>
      <c r="M41" s="12">
        <f>+L41-K41</f>
        <v>-192.5</v>
      </c>
      <c r="N41" s="21">
        <f>+L41/K41</f>
        <v>0.97499999999999998</v>
      </c>
      <c r="O41" s="56">
        <f>E41+P41+1+3+5</f>
        <v>46220.049577136189</v>
      </c>
      <c r="P41" s="25">
        <f>+L41/Q41</f>
        <v>20.04957713619131</v>
      </c>
      <c r="Q41" s="51">
        <f>630*40/60*0.975*0.9144</f>
        <v>374.4468</v>
      </c>
      <c r="U41" s="90"/>
    </row>
    <row r="42" spans="1:21">
      <c r="A42" s="78">
        <v>39</v>
      </c>
      <c r="B42" s="79" t="s">
        <v>174</v>
      </c>
      <c r="C42" s="67" t="s">
        <v>186</v>
      </c>
      <c r="D42" s="31" t="s">
        <v>178</v>
      </c>
      <c r="E42" s="7">
        <v>46188</v>
      </c>
      <c r="F42" s="86" t="s">
        <v>285</v>
      </c>
      <c r="G42" s="86" t="s">
        <v>283</v>
      </c>
      <c r="H42" s="86" t="s">
        <v>301</v>
      </c>
      <c r="I42" s="5">
        <v>4758</v>
      </c>
      <c r="J42" s="6" t="s">
        <v>138</v>
      </c>
      <c r="K42" s="2">
        <v>8000</v>
      </c>
      <c r="L42" s="2">
        <f t="shared" ref="L42:L54" si="50">+K42*0.975</f>
        <v>7800</v>
      </c>
      <c r="M42" s="12">
        <f t="shared" ref="M42:M54" si="51">+L42-K42</f>
        <v>-200</v>
      </c>
      <c r="N42" s="21">
        <f t="shared" ref="N42:N54" si="52">+L42/K42</f>
        <v>0.97499999999999998</v>
      </c>
      <c r="O42" s="8">
        <f>+E42+P42+1+3+7</f>
        <v>46219.830729492147</v>
      </c>
      <c r="P42" s="25">
        <f t="shared" ref="P42:P71" si="53">+L42/Q42</f>
        <v>20.830729492146816</v>
      </c>
      <c r="Q42" s="51">
        <f t="shared" ref="Q42" si="54">630*40/60*0.975*0.9144</f>
        <v>374.4468</v>
      </c>
      <c r="U42" s="90"/>
    </row>
    <row r="43" spans="1:21">
      <c r="A43" s="78">
        <v>40</v>
      </c>
      <c r="B43" s="32" t="s">
        <v>174</v>
      </c>
      <c r="C43" s="32" t="s">
        <v>67</v>
      </c>
      <c r="D43" s="32" t="s">
        <v>178</v>
      </c>
      <c r="E43" s="7">
        <v>46197</v>
      </c>
      <c r="F43" s="4" t="s">
        <v>282</v>
      </c>
      <c r="G43" s="4" t="s">
        <v>281</v>
      </c>
      <c r="H43" s="3" t="s">
        <v>0</v>
      </c>
      <c r="I43" s="5">
        <v>4758</v>
      </c>
      <c r="J43" s="6" t="s">
        <v>64</v>
      </c>
      <c r="K43" s="2">
        <v>8000</v>
      </c>
      <c r="L43" s="2">
        <f t="shared" si="50"/>
        <v>7800</v>
      </c>
      <c r="M43" s="2">
        <f t="shared" si="51"/>
        <v>-200</v>
      </c>
      <c r="N43" s="21">
        <f t="shared" si="52"/>
        <v>0.97499999999999998</v>
      </c>
      <c r="O43" s="56">
        <f>E43+P43+1+3</f>
        <v>46221.830729492147</v>
      </c>
      <c r="P43" s="24">
        <f t="shared" si="53"/>
        <v>20.830729492146816</v>
      </c>
      <c r="Q43" s="51">
        <f>630*40/60*0.975*0.9144</f>
        <v>374.4468</v>
      </c>
      <c r="U43" s="90"/>
    </row>
    <row r="44" spans="1:21">
      <c r="A44" s="78">
        <v>41</v>
      </c>
      <c r="B44" s="77" t="s">
        <v>174</v>
      </c>
      <c r="C44" s="33" t="s">
        <v>284</v>
      </c>
      <c r="D44" s="31" t="s">
        <v>178</v>
      </c>
      <c r="E44" s="7">
        <v>46205</v>
      </c>
      <c r="F44" s="11" t="s">
        <v>282</v>
      </c>
      <c r="G44" s="11" t="s">
        <v>281</v>
      </c>
      <c r="H44" s="4" t="s">
        <v>0</v>
      </c>
      <c r="I44" s="5">
        <v>4758</v>
      </c>
      <c r="J44" s="6" t="s">
        <v>136</v>
      </c>
      <c r="K44" s="2">
        <v>8000</v>
      </c>
      <c r="L44" s="2">
        <f t="shared" si="50"/>
        <v>7800</v>
      </c>
      <c r="M44" s="12">
        <f t="shared" si="51"/>
        <v>-200</v>
      </c>
      <c r="N44" s="21">
        <f t="shared" si="52"/>
        <v>0.97499999999999998</v>
      </c>
      <c r="O44" s="56">
        <f>E44+P44+1+3</f>
        <v>46229.830729492147</v>
      </c>
      <c r="P44" s="25">
        <f t="shared" si="53"/>
        <v>20.830729492146816</v>
      </c>
      <c r="Q44" s="51">
        <f t="shared" ref="Q44" si="55">630*40/60*0.975*0.9144</f>
        <v>374.4468</v>
      </c>
      <c r="U44" s="90"/>
    </row>
    <row r="45" spans="1:21">
      <c r="A45" s="78">
        <v>42</v>
      </c>
      <c r="B45" s="79" t="s">
        <v>174</v>
      </c>
      <c r="C45" s="67" t="s">
        <v>186</v>
      </c>
      <c r="D45" s="31" t="s">
        <v>178</v>
      </c>
      <c r="E45" s="7">
        <v>46191</v>
      </c>
      <c r="F45" s="86" t="s">
        <v>285</v>
      </c>
      <c r="G45" s="86" t="s">
        <v>283</v>
      </c>
      <c r="H45" s="86" t="s">
        <v>301</v>
      </c>
      <c r="I45" s="5">
        <v>4758</v>
      </c>
      <c r="J45" s="6" t="s">
        <v>266</v>
      </c>
      <c r="K45" s="2">
        <v>8000</v>
      </c>
      <c r="L45" s="2">
        <f>+K45*0.975</f>
        <v>7800</v>
      </c>
      <c r="M45" s="12">
        <f>+L45-K45</f>
        <v>-200</v>
      </c>
      <c r="N45" s="21">
        <f>+L45/K45</f>
        <v>0.97499999999999998</v>
      </c>
      <c r="O45" s="56">
        <f>E45+P45+1+4+4</f>
        <v>46220.830729492147</v>
      </c>
      <c r="P45" s="25">
        <f>+L45/Q45</f>
        <v>20.830729492146816</v>
      </c>
      <c r="Q45" s="51">
        <f>630*40/60*0.975*0.9144</f>
        <v>374.4468</v>
      </c>
      <c r="U45" s="90"/>
    </row>
    <row r="46" spans="1:21">
      <c r="A46" s="78">
        <v>43</v>
      </c>
      <c r="B46" s="32" t="s">
        <v>174</v>
      </c>
      <c r="C46" s="32" t="s">
        <v>67</v>
      </c>
      <c r="D46" s="32" t="s">
        <v>178</v>
      </c>
      <c r="E46" s="7">
        <v>46204</v>
      </c>
      <c r="F46" s="4" t="s">
        <v>282</v>
      </c>
      <c r="G46" s="4" t="s">
        <v>281</v>
      </c>
      <c r="H46" s="3" t="s">
        <v>0</v>
      </c>
      <c r="I46" s="3">
        <v>4758</v>
      </c>
      <c r="J46" s="6" t="s">
        <v>81</v>
      </c>
      <c r="K46" s="2">
        <v>8000</v>
      </c>
      <c r="L46" s="2">
        <f t="shared" ref="L46:L47" si="56">+K46*0.975</f>
        <v>7800</v>
      </c>
      <c r="M46" s="2">
        <f t="shared" ref="M46:M47" si="57">+L46-K46</f>
        <v>-200</v>
      </c>
      <c r="N46" s="21">
        <f t="shared" ref="N46:N47" si="58">+L46/K46</f>
        <v>0.97499999999999998</v>
      </c>
      <c r="O46" s="56">
        <f>E46+P46+1+3</f>
        <v>46228.830729492147</v>
      </c>
      <c r="P46" s="24">
        <f t="shared" ref="P46:P47" si="59">+L46/Q46</f>
        <v>20.830729492146816</v>
      </c>
      <c r="Q46" s="51">
        <f t="shared" ref="Q46:Q47" si="60">630*40/60*0.975*0.9144</f>
        <v>374.4468</v>
      </c>
      <c r="U46" s="90"/>
    </row>
    <row r="47" spans="1:21">
      <c r="A47" s="78">
        <v>44</v>
      </c>
      <c r="B47" s="77" t="s">
        <v>174</v>
      </c>
      <c r="C47" s="33" t="s">
        <v>284</v>
      </c>
      <c r="D47" s="31" t="s">
        <v>178</v>
      </c>
      <c r="E47" s="7">
        <v>46206</v>
      </c>
      <c r="F47" s="11" t="s">
        <v>368</v>
      </c>
      <c r="G47" s="11" t="s">
        <v>367</v>
      </c>
      <c r="H47" s="4" t="s">
        <v>0</v>
      </c>
      <c r="I47" s="5">
        <v>4758</v>
      </c>
      <c r="J47" s="6" t="s">
        <v>140</v>
      </c>
      <c r="K47" s="2">
        <v>8000</v>
      </c>
      <c r="L47" s="2">
        <f t="shared" si="56"/>
        <v>7800</v>
      </c>
      <c r="M47" s="12">
        <f t="shared" si="57"/>
        <v>-200</v>
      </c>
      <c r="N47" s="21">
        <f t="shared" si="58"/>
        <v>0.97499999999999998</v>
      </c>
      <c r="O47" s="56">
        <f>E47+P47+1+4</f>
        <v>46231.830729492147</v>
      </c>
      <c r="P47" s="25">
        <f t="shared" si="59"/>
        <v>20.830729492146816</v>
      </c>
      <c r="Q47" s="51">
        <f t="shared" si="60"/>
        <v>374.4468</v>
      </c>
    </row>
    <row r="48" spans="1:21">
      <c r="A48" s="78">
        <v>45</v>
      </c>
      <c r="B48" s="77" t="s">
        <v>174</v>
      </c>
      <c r="C48" s="33" t="s">
        <v>284</v>
      </c>
      <c r="D48" s="31" t="s">
        <v>178</v>
      </c>
      <c r="E48" s="7">
        <v>46205</v>
      </c>
      <c r="F48" s="11" t="s">
        <v>282</v>
      </c>
      <c r="G48" s="11" t="s">
        <v>281</v>
      </c>
      <c r="H48" s="4" t="s">
        <v>0</v>
      </c>
      <c r="I48" s="5">
        <v>4758</v>
      </c>
      <c r="J48" s="6" t="s">
        <v>105</v>
      </c>
      <c r="K48" s="2">
        <v>8000</v>
      </c>
      <c r="L48" s="2">
        <f t="shared" ref="L48:L49" si="61">+K48*0.975</f>
        <v>7800</v>
      </c>
      <c r="M48" s="12">
        <f t="shared" ref="M48:M49" si="62">+L48-K48</f>
        <v>-200</v>
      </c>
      <c r="N48" s="21">
        <f t="shared" ref="N48:N49" si="63">+L48/K48</f>
        <v>0.97499999999999998</v>
      </c>
      <c r="O48" s="56">
        <f>E48+P48+1+3</f>
        <v>46229.830729492147</v>
      </c>
      <c r="P48" s="25">
        <f t="shared" ref="P48:P49" si="64">+L48/Q48</f>
        <v>20.830729492146816</v>
      </c>
      <c r="Q48" s="51">
        <f t="shared" ref="Q48:Q49" si="65">630*40/60*0.975*0.9144</f>
        <v>374.4468</v>
      </c>
      <c r="U48" s="91"/>
    </row>
    <row r="49" spans="1:21">
      <c r="A49" s="78">
        <v>46</v>
      </c>
      <c r="B49" s="77" t="s">
        <v>174</v>
      </c>
      <c r="C49" s="33" t="s">
        <v>284</v>
      </c>
      <c r="D49" s="31" t="s">
        <v>178</v>
      </c>
      <c r="E49" s="7">
        <v>46220</v>
      </c>
      <c r="F49" s="11" t="s">
        <v>368</v>
      </c>
      <c r="G49" s="11" t="s">
        <v>367</v>
      </c>
      <c r="H49" s="4" t="s">
        <v>0</v>
      </c>
      <c r="I49" s="5">
        <v>4758</v>
      </c>
      <c r="J49" s="6" t="s">
        <v>404</v>
      </c>
      <c r="K49" s="2">
        <v>8000</v>
      </c>
      <c r="L49" s="2">
        <f t="shared" si="61"/>
        <v>7800</v>
      </c>
      <c r="M49" s="12">
        <f t="shared" si="62"/>
        <v>-200</v>
      </c>
      <c r="N49" s="21">
        <f t="shared" si="63"/>
        <v>0.97499999999999998</v>
      </c>
      <c r="O49" s="8">
        <f>+E49+P49+1+4</f>
        <v>46245.830729492147</v>
      </c>
      <c r="P49" s="25">
        <f t="shared" si="64"/>
        <v>20.830729492146816</v>
      </c>
      <c r="Q49" s="51">
        <f t="shared" si="65"/>
        <v>374.4468</v>
      </c>
      <c r="T49" s="28"/>
      <c r="U49" s="117"/>
    </row>
    <row r="50" spans="1:21">
      <c r="A50" s="78">
        <v>47</v>
      </c>
      <c r="B50" s="77" t="s">
        <v>174</v>
      </c>
      <c r="C50" s="33" t="s">
        <v>284</v>
      </c>
      <c r="D50" s="31" t="s">
        <v>178</v>
      </c>
      <c r="E50" s="7">
        <v>46216</v>
      </c>
      <c r="F50" s="11" t="s">
        <v>368</v>
      </c>
      <c r="G50" s="11" t="s">
        <v>367</v>
      </c>
      <c r="H50" s="4" t="s">
        <v>0</v>
      </c>
      <c r="I50" s="5">
        <v>4758</v>
      </c>
      <c r="J50" s="6" t="s">
        <v>331</v>
      </c>
      <c r="K50" s="2">
        <v>8000</v>
      </c>
      <c r="L50" s="2">
        <f t="shared" si="50"/>
        <v>7800</v>
      </c>
      <c r="M50" s="12">
        <f t="shared" si="51"/>
        <v>-200</v>
      </c>
      <c r="N50" s="21">
        <f t="shared" si="52"/>
        <v>0.97499999999999998</v>
      </c>
      <c r="O50" s="8">
        <f>+E50+P50+1+3</f>
        <v>46240.830729492147</v>
      </c>
      <c r="P50" s="25">
        <f t="shared" si="53"/>
        <v>20.830729492146816</v>
      </c>
      <c r="Q50" s="51">
        <f t="shared" ref="Q50" si="66">630*40/60*0.975*0.9144</f>
        <v>374.4468</v>
      </c>
    </row>
    <row r="51" spans="1:21">
      <c r="A51" s="78">
        <v>48</v>
      </c>
      <c r="B51" s="77" t="s">
        <v>174</v>
      </c>
      <c r="C51" s="33" t="s">
        <v>284</v>
      </c>
      <c r="D51" s="31" t="s">
        <v>178</v>
      </c>
      <c r="E51" s="7">
        <v>46205</v>
      </c>
      <c r="F51" s="11" t="s">
        <v>282</v>
      </c>
      <c r="G51" s="11" t="s">
        <v>281</v>
      </c>
      <c r="H51" s="4" t="s">
        <v>0</v>
      </c>
      <c r="I51" s="5">
        <v>4758</v>
      </c>
      <c r="J51" s="6" t="s">
        <v>114</v>
      </c>
      <c r="K51" s="2">
        <v>8000</v>
      </c>
      <c r="L51" s="2">
        <f t="shared" ref="L51" si="67">+K51*0.975</f>
        <v>7800</v>
      </c>
      <c r="M51" s="12">
        <f t="shared" ref="M51" si="68">+L51-K51</f>
        <v>-200</v>
      </c>
      <c r="N51" s="21">
        <f t="shared" ref="N51" si="69">+L51/K51</f>
        <v>0.97499999999999998</v>
      </c>
      <c r="O51" s="56">
        <f>E51+P51+1+3</f>
        <v>46229.830729492147</v>
      </c>
      <c r="P51" s="25">
        <f t="shared" ref="P51" si="70">+L51/Q51</f>
        <v>20.830729492146816</v>
      </c>
      <c r="Q51" s="51">
        <f t="shared" ref="Q51" si="71">630*40/60*0.975*0.9144</f>
        <v>374.4468</v>
      </c>
    </row>
    <row r="52" spans="1:21">
      <c r="A52" s="78">
        <v>49</v>
      </c>
      <c r="B52" s="32" t="s">
        <v>174</v>
      </c>
      <c r="C52" s="32" t="s">
        <v>67</v>
      </c>
      <c r="D52" s="32" t="s">
        <v>178</v>
      </c>
      <c r="E52" s="7">
        <v>46197</v>
      </c>
      <c r="F52" s="4" t="s">
        <v>282</v>
      </c>
      <c r="G52" s="4" t="s">
        <v>281</v>
      </c>
      <c r="H52" s="3" t="s">
        <v>0</v>
      </c>
      <c r="I52" s="5">
        <v>4758</v>
      </c>
      <c r="J52" s="6" t="s">
        <v>346</v>
      </c>
      <c r="K52" s="2">
        <v>8000</v>
      </c>
      <c r="L52" s="2">
        <f t="shared" si="50"/>
        <v>7800</v>
      </c>
      <c r="M52" s="2">
        <f t="shared" si="51"/>
        <v>-200</v>
      </c>
      <c r="N52" s="21">
        <f t="shared" si="52"/>
        <v>0.97499999999999998</v>
      </c>
      <c r="O52" s="56">
        <f>E52+P52+1+3</f>
        <v>46221.830729492147</v>
      </c>
      <c r="P52" s="24">
        <f t="shared" si="53"/>
        <v>20.830729492146816</v>
      </c>
      <c r="Q52" s="51">
        <f t="shared" ref="Q52:Q54" si="72">630*40/60*0.975*0.9144</f>
        <v>374.4468</v>
      </c>
    </row>
    <row r="53" spans="1:21">
      <c r="A53" s="78">
        <v>50</v>
      </c>
      <c r="B53" s="77" t="s">
        <v>174</v>
      </c>
      <c r="C53" s="33" t="s">
        <v>284</v>
      </c>
      <c r="D53" s="31" t="s">
        <v>178</v>
      </c>
      <c r="E53" s="7">
        <v>46220</v>
      </c>
      <c r="F53" s="11" t="s">
        <v>368</v>
      </c>
      <c r="G53" s="11" t="s">
        <v>367</v>
      </c>
      <c r="H53" s="4" t="s">
        <v>0</v>
      </c>
      <c r="I53" s="5">
        <v>4758</v>
      </c>
      <c r="J53" s="6" t="s">
        <v>12</v>
      </c>
      <c r="K53" s="2">
        <v>5000</v>
      </c>
      <c r="L53" s="2">
        <f t="shared" si="50"/>
        <v>4875</v>
      </c>
      <c r="M53" s="12">
        <f t="shared" si="51"/>
        <v>-125</v>
      </c>
      <c r="N53" s="21">
        <f t="shared" si="52"/>
        <v>0.97499999999999998</v>
      </c>
      <c r="O53" s="8">
        <f>+E53+P53+1+2</f>
        <v>46236.019205932593</v>
      </c>
      <c r="P53" s="25">
        <f t="shared" si="53"/>
        <v>13.01920593259176</v>
      </c>
      <c r="Q53" s="51">
        <f t="shared" si="72"/>
        <v>374.4468</v>
      </c>
    </row>
    <row r="54" spans="1:21">
      <c r="A54" s="78">
        <v>51</v>
      </c>
      <c r="B54" s="77" t="s">
        <v>174</v>
      </c>
      <c r="C54" s="33" t="s">
        <v>284</v>
      </c>
      <c r="D54" s="31" t="s">
        <v>178</v>
      </c>
      <c r="E54" s="7">
        <v>46217</v>
      </c>
      <c r="F54" s="11" t="s">
        <v>368</v>
      </c>
      <c r="G54" s="11" t="s">
        <v>367</v>
      </c>
      <c r="H54" s="4" t="s">
        <v>0</v>
      </c>
      <c r="I54" s="5">
        <v>4758</v>
      </c>
      <c r="J54" s="6" t="s">
        <v>60</v>
      </c>
      <c r="K54" s="2">
        <v>8000</v>
      </c>
      <c r="L54" s="2">
        <f t="shared" si="50"/>
        <v>7800</v>
      </c>
      <c r="M54" s="12">
        <f t="shared" si="51"/>
        <v>-200</v>
      </c>
      <c r="N54" s="21">
        <f t="shared" si="52"/>
        <v>0.97499999999999998</v>
      </c>
      <c r="O54" s="8">
        <f>+E54+P54+1+3</f>
        <v>46241.830729492147</v>
      </c>
      <c r="P54" s="25">
        <f t="shared" si="53"/>
        <v>20.830729492146816</v>
      </c>
      <c r="Q54" s="51">
        <f t="shared" si="72"/>
        <v>374.4468</v>
      </c>
    </row>
    <row r="55" spans="1:21">
      <c r="A55" s="78">
        <v>52</v>
      </c>
      <c r="B55" s="77" t="s">
        <v>174</v>
      </c>
      <c r="C55" s="33" t="s">
        <v>284</v>
      </c>
      <c r="D55" s="31" t="s">
        <v>178</v>
      </c>
      <c r="E55" s="7">
        <v>46200</v>
      </c>
      <c r="F55" s="11" t="s">
        <v>282</v>
      </c>
      <c r="G55" s="11" t="s">
        <v>281</v>
      </c>
      <c r="H55" s="4" t="s">
        <v>0</v>
      </c>
      <c r="I55" s="5">
        <v>4758</v>
      </c>
      <c r="J55" s="6" t="s">
        <v>144</v>
      </c>
      <c r="K55" s="2">
        <v>8000</v>
      </c>
      <c r="L55" s="2">
        <f t="shared" ref="L55" si="73">+K55*0.975</f>
        <v>7800</v>
      </c>
      <c r="M55" s="12">
        <f t="shared" ref="M55" si="74">+L55-K55</f>
        <v>-200</v>
      </c>
      <c r="N55" s="21">
        <f t="shared" ref="N55" si="75">+L55/K55</f>
        <v>0.97499999999999998</v>
      </c>
      <c r="O55" s="56">
        <f>E55+P55+1+4</f>
        <v>46225.830729492147</v>
      </c>
      <c r="P55" s="25">
        <f t="shared" ref="P55" si="76">+L55/Q55</f>
        <v>20.830729492146816</v>
      </c>
      <c r="Q55" s="51">
        <f t="shared" ref="Q55" si="77">630*40/60*0.975*0.9144</f>
        <v>374.4468</v>
      </c>
    </row>
    <row r="56" spans="1:21">
      <c r="A56" s="78">
        <v>53</v>
      </c>
      <c r="B56" s="97" t="s">
        <v>239</v>
      </c>
      <c r="C56" s="33" t="s">
        <v>175</v>
      </c>
      <c r="D56" s="31" t="s">
        <v>178</v>
      </c>
      <c r="E56" s="7">
        <v>46204</v>
      </c>
      <c r="F56" s="86" t="s">
        <v>241</v>
      </c>
      <c r="G56" s="86" t="s">
        <v>240</v>
      </c>
      <c r="H56" s="95" t="s">
        <v>165</v>
      </c>
      <c r="I56" s="5">
        <v>6200</v>
      </c>
      <c r="J56" s="6" t="s">
        <v>362</v>
      </c>
      <c r="K56" s="2">
        <v>6000</v>
      </c>
      <c r="L56" s="2">
        <f t="shared" ref="L56:L57" si="78">+K56*0.975</f>
        <v>5850</v>
      </c>
      <c r="M56" s="2">
        <f t="shared" ref="M56:M57" si="79">+L56-K56</f>
        <v>-150</v>
      </c>
      <c r="N56" s="21">
        <f t="shared" ref="N56:N57" si="80">+L56/K56</f>
        <v>0.97499999999999998</v>
      </c>
      <c r="O56" s="56">
        <f>E56+P56+1+2</f>
        <v>46231.182458652002</v>
      </c>
      <c r="P56" s="24">
        <f t="shared" ref="P56:P57" si="81">+L56/Q56</f>
        <v>24.182458651998648</v>
      </c>
      <c r="Q56" s="51">
        <f>550*40/79*0.95*0.9144</f>
        <v>241.91088607594932</v>
      </c>
    </row>
    <row r="57" spans="1:21">
      <c r="A57" s="78">
        <v>54</v>
      </c>
      <c r="B57" s="77" t="s">
        <v>174</v>
      </c>
      <c r="C57" s="33" t="s">
        <v>284</v>
      </c>
      <c r="D57" s="31" t="s">
        <v>178</v>
      </c>
      <c r="E57" s="7">
        <v>46206</v>
      </c>
      <c r="F57" s="11" t="s">
        <v>368</v>
      </c>
      <c r="G57" s="11" t="s">
        <v>367</v>
      </c>
      <c r="H57" s="4" t="s">
        <v>0</v>
      </c>
      <c r="I57" s="5">
        <v>4758</v>
      </c>
      <c r="J57" s="6" t="s">
        <v>56</v>
      </c>
      <c r="K57" s="2">
        <v>8000</v>
      </c>
      <c r="L57" s="2">
        <f t="shared" si="78"/>
        <v>7800</v>
      </c>
      <c r="M57" s="12">
        <f t="shared" si="79"/>
        <v>-200</v>
      </c>
      <c r="N57" s="21">
        <f t="shared" si="80"/>
        <v>0.97499999999999998</v>
      </c>
      <c r="O57" s="56">
        <f>E57+P57+1+4</f>
        <v>46231.830729492147</v>
      </c>
      <c r="P57" s="25">
        <f t="shared" si="81"/>
        <v>20.830729492146816</v>
      </c>
      <c r="Q57" s="51">
        <f t="shared" ref="Q57" si="82">630*40/60*0.975*0.9144</f>
        <v>374.4468</v>
      </c>
    </row>
    <row r="58" spans="1:21">
      <c r="A58" s="78">
        <v>55</v>
      </c>
      <c r="B58" s="79" t="s">
        <v>174</v>
      </c>
      <c r="C58" s="67" t="s">
        <v>186</v>
      </c>
      <c r="D58" s="31" t="s">
        <v>178</v>
      </c>
      <c r="E58" s="7">
        <v>46209</v>
      </c>
      <c r="F58" s="86" t="s">
        <v>285</v>
      </c>
      <c r="G58" s="86" t="s">
        <v>283</v>
      </c>
      <c r="H58" s="86" t="s">
        <v>301</v>
      </c>
      <c r="I58" s="5">
        <v>4758</v>
      </c>
      <c r="J58" s="6" t="s">
        <v>369</v>
      </c>
      <c r="K58" s="2">
        <v>8000</v>
      </c>
      <c r="L58" s="2">
        <f>+K58*0.975</f>
        <v>7800</v>
      </c>
      <c r="M58" s="12">
        <f>+L58-K58</f>
        <v>-200</v>
      </c>
      <c r="N58" s="21">
        <f>+L58/K58</f>
        <v>0.97499999999999998</v>
      </c>
      <c r="O58" s="8">
        <f>+E58+P58+1+3</f>
        <v>46233.830729492147</v>
      </c>
      <c r="P58" s="25">
        <f>+L58/Q58</f>
        <v>20.830729492146816</v>
      </c>
      <c r="Q58" s="51">
        <f>630*40/60*0.975*0.9144</f>
        <v>374.4468</v>
      </c>
    </row>
    <row r="59" spans="1:21">
      <c r="A59" s="78">
        <v>56</v>
      </c>
      <c r="B59" s="70" t="s">
        <v>191</v>
      </c>
      <c r="C59" s="33" t="s">
        <v>247</v>
      </c>
      <c r="D59" s="31" t="s">
        <v>178</v>
      </c>
      <c r="E59" s="7">
        <v>46200</v>
      </c>
      <c r="F59" s="86" t="s">
        <v>260</v>
      </c>
      <c r="G59" s="86" t="s">
        <v>261</v>
      </c>
      <c r="H59" s="4" t="s">
        <v>351</v>
      </c>
      <c r="I59" s="5">
        <v>6564</v>
      </c>
      <c r="J59" s="6" t="s">
        <v>352</v>
      </c>
      <c r="K59" s="2">
        <v>6100</v>
      </c>
      <c r="L59" s="2">
        <f t="shared" ref="L59:L60" si="83">+K59*0.95</f>
        <v>5795</v>
      </c>
      <c r="M59" s="2">
        <f t="shared" ref="M59:M62" si="84">+L59-K59</f>
        <v>-305</v>
      </c>
      <c r="N59" s="21">
        <f t="shared" ref="N59:N62" si="85">+L59/K59</f>
        <v>0.95</v>
      </c>
      <c r="O59" s="56">
        <f>E59+P59+1+4</f>
        <v>46225.990775937491</v>
      </c>
      <c r="P59" s="24">
        <f>+L59/Q59</f>
        <v>20.990775937490572</v>
      </c>
      <c r="Q59" s="51">
        <f>580*40/73*0.95*0.9144</f>
        <v>276.07364383561645</v>
      </c>
    </row>
    <row r="60" spans="1:21">
      <c r="A60" s="78">
        <v>57</v>
      </c>
      <c r="B60" s="70" t="s">
        <v>191</v>
      </c>
      <c r="C60" s="33" t="s">
        <v>247</v>
      </c>
      <c r="D60" s="31" t="s">
        <v>178</v>
      </c>
      <c r="E60" s="7">
        <v>46219</v>
      </c>
      <c r="F60" s="86" t="s">
        <v>260</v>
      </c>
      <c r="G60" s="86" t="s">
        <v>261</v>
      </c>
      <c r="H60" s="4" t="s">
        <v>351</v>
      </c>
      <c r="I60" s="5">
        <v>6564</v>
      </c>
      <c r="J60" s="6" t="s">
        <v>224</v>
      </c>
      <c r="K60" s="2">
        <v>6100</v>
      </c>
      <c r="L60" s="2">
        <f t="shared" si="83"/>
        <v>5795</v>
      </c>
      <c r="M60" s="2">
        <f t="shared" si="84"/>
        <v>-305</v>
      </c>
      <c r="N60" s="21">
        <f t="shared" si="85"/>
        <v>0.95</v>
      </c>
      <c r="O60" s="8">
        <f>+E60+P60+1+4</f>
        <v>46244.990775937491</v>
      </c>
      <c r="P60" s="24">
        <f>+L60/Q60</f>
        <v>20.990775937490572</v>
      </c>
      <c r="Q60" s="51">
        <f>580*40/73*0.95*0.9144</f>
        <v>276.07364383561645</v>
      </c>
    </row>
    <row r="61" spans="1:21">
      <c r="A61" s="78">
        <v>58</v>
      </c>
      <c r="B61" s="77" t="s">
        <v>174</v>
      </c>
      <c r="C61" s="33" t="s">
        <v>284</v>
      </c>
      <c r="D61" s="31" t="s">
        <v>178</v>
      </c>
      <c r="E61" s="7">
        <v>46210</v>
      </c>
      <c r="F61" s="11" t="s">
        <v>368</v>
      </c>
      <c r="G61" s="11" t="s">
        <v>367</v>
      </c>
      <c r="H61" s="4" t="s">
        <v>0</v>
      </c>
      <c r="I61" s="5">
        <v>4758</v>
      </c>
      <c r="J61" s="6" t="s">
        <v>35</v>
      </c>
      <c r="K61" s="2">
        <v>8000</v>
      </c>
      <c r="L61" s="2">
        <f t="shared" ref="L61:L62" si="86">+K61*0.975</f>
        <v>7800</v>
      </c>
      <c r="M61" s="12">
        <f t="shared" si="84"/>
        <v>-200</v>
      </c>
      <c r="N61" s="21">
        <f t="shared" si="85"/>
        <v>0.97499999999999998</v>
      </c>
      <c r="O61" s="8">
        <f>+E61+P61+1+3</f>
        <v>46234.830729492147</v>
      </c>
      <c r="P61" s="25">
        <f t="shared" ref="P61:P62" si="87">+L61/Q61</f>
        <v>20.830729492146816</v>
      </c>
      <c r="Q61" s="51">
        <f t="shared" ref="Q61:Q62" si="88">630*40/60*0.975*0.9144</f>
        <v>374.4468</v>
      </c>
    </row>
    <row r="62" spans="1:21">
      <c r="A62" s="78">
        <v>59</v>
      </c>
      <c r="B62" s="77" t="s">
        <v>174</v>
      </c>
      <c r="C62" s="33" t="s">
        <v>284</v>
      </c>
      <c r="D62" s="31" t="s">
        <v>178</v>
      </c>
      <c r="E62" s="7">
        <v>46210</v>
      </c>
      <c r="F62" s="11" t="s">
        <v>368</v>
      </c>
      <c r="G62" s="11" t="s">
        <v>367</v>
      </c>
      <c r="H62" s="4" t="s">
        <v>0</v>
      </c>
      <c r="I62" s="5">
        <v>4758</v>
      </c>
      <c r="J62" s="6" t="s">
        <v>35</v>
      </c>
      <c r="K62" s="2">
        <v>8000</v>
      </c>
      <c r="L62" s="2">
        <f t="shared" si="86"/>
        <v>7800</v>
      </c>
      <c r="M62" s="12">
        <f t="shared" si="84"/>
        <v>-200</v>
      </c>
      <c r="N62" s="21">
        <f t="shared" si="85"/>
        <v>0.97499999999999998</v>
      </c>
      <c r="O62" s="8">
        <f>+E62+P62+1+3</f>
        <v>46234.830729492147</v>
      </c>
      <c r="P62" s="25">
        <f t="shared" si="87"/>
        <v>20.830729492146816</v>
      </c>
      <c r="Q62" s="51">
        <f t="shared" si="88"/>
        <v>374.4468</v>
      </c>
    </row>
    <row r="63" spans="1:21">
      <c r="A63" s="78">
        <v>60</v>
      </c>
      <c r="B63" s="77" t="s">
        <v>174</v>
      </c>
      <c r="C63" s="33" t="s">
        <v>284</v>
      </c>
      <c r="D63" s="31" t="s">
        <v>178</v>
      </c>
      <c r="E63" s="7">
        <v>46206</v>
      </c>
      <c r="F63" s="11" t="s">
        <v>368</v>
      </c>
      <c r="G63" s="11" t="s">
        <v>367</v>
      </c>
      <c r="H63" s="4" t="s">
        <v>0</v>
      </c>
      <c r="I63" s="5">
        <v>4758</v>
      </c>
      <c r="J63" s="6" t="s">
        <v>21</v>
      </c>
      <c r="K63" s="2">
        <v>8000</v>
      </c>
      <c r="L63" s="2">
        <f t="shared" ref="L63:L65" si="89">+K63*0.975</f>
        <v>7800</v>
      </c>
      <c r="M63" s="12">
        <f t="shared" ref="M63:M65" si="90">+L63-K63</f>
        <v>-200</v>
      </c>
      <c r="N63" s="21">
        <f t="shared" ref="N63:N65" si="91">+L63/K63</f>
        <v>0.97499999999999998</v>
      </c>
      <c r="O63" s="56">
        <f t="shared" ref="O63:O64" si="92">E63+P63+1+4</f>
        <v>46231.830729492147</v>
      </c>
      <c r="P63" s="25">
        <f t="shared" ref="P63:P65" si="93">+L63/Q63</f>
        <v>20.830729492146816</v>
      </c>
      <c r="Q63" s="51">
        <f t="shared" ref="Q63:Q64" si="94">630*40/60*0.975*0.9144</f>
        <v>374.4468</v>
      </c>
    </row>
    <row r="64" spans="1:21">
      <c r="A64" s="78">
        <v>61</v>
      </c>
      <c r="B64" s="77" t="s">
        <v>174</v>
      </c>
      <c r="C64" s="33" t="s">
        <v>284</v>
      </c>
      <c r="D64" s="31" t="s">
        <v>178</v>
      </c>
      <c r="E64" s="7">
        <v>46206</v>
      </c>
      <c r="F64" s="11" t="s">
        <v>368</v>
      </c>
      <c r="G64" s="11" t="s">
        <v>367</v>
      </c>
      <c r="H64" s="4" t="s">
        <v>0</v>
      </c>
      <c r="I64" s="5">
        <v>4758</v>
      </c>
      <c r="J64" s="6" t="s">
        <v>96</v>
      </c>
      <c r="K64" s="2">
        <v>8000</v>
      </c>
      <c r="L64" s="2">
        <f t="shared" si="89"/>
        <v>7800</v>
      </c>
      <c r="M64" s="12">
        <f t="shared" si="90"/>
        <v>-200</v>
      </c>
      <c r="N64" s="21">
        <f t="shared" si="91"/>
        <v>0.97499999999999998</v>
      </c>
      <c r="O64" s="56">
        <f t="shared" si="92"/>
        <v>46231.830729492147</v>
      </c>
      <c r="P64" s="25">
        <f t="shared" si="93"/>
        <v>20.830729492146816</v>
      </c>
      <c r="Q64" s="51">
        <f t="shared" si="94"/>
        <v>374.4468</v>
      </c>
    </row>
    <row r="65" spans="1:17">
      <c r="A65" s="78">
        <v>62</v>
      </c>
      <c r="B65" s="77" t="s">
        <v>174</v>
      </c>
      <c r="C65" s="33" t="s">
        <v>284</v>
      </c>
      <c r="D65" s="31" t="s">
        <v>178</v>
      </c>
      <c r="E65" s="7">
        <v>46203</v>
      </c>
      <c r="F65" s="11" t="s">
        <v>282</v>
      </c>
      <c r="G65" s="11" t="s">
        <v>281</v>
      </c>
      <c r="H65" s="4" t="s">
        <v>0</v>
      </c>
      <c r="I65" s="5">
        <v>4758</v>
      </c>
      <c r="J65" s="6" t="s">
        <v>69</v>
      </c>
      <c r="K65" s="2">
        <v>8000</v>
      </c>
      <c r="L65" s="2">
        <f t="shared" si="89"/>
        <v>7800</v>
      </c>
      <c r="M65" s="12">
        <f t="shared" si="90"/>
        <v>-200</v>
      </c>
      <c r="N65" s="21">
        <f t="shared" si="91"/>
        <v>0.97499999999999998</v>
      </c>
      <c r="O65" s="56">
        <f>E65+P65+1+3</f>
        <v>46227.830729492147</v>
      </c>
      <c r="P65" s="25">
        <f t="shared" si="93"/>
        <v>20.830729492146816</v>
      </c>
      <c r="Q65" s="51">
        <f>630*40/60*0.975*0.9144</f>
        <v>374.4468</v>
      </c>
    </row>
    <row r="66" spans="1:17">
      <c r="A66" s="78">
        <v>63</v>
      </c>
      <c r="B66" s="79" t="s">
        <v>174</v>
      </c>
      <c r="C66" s="67" t="s">
        <v>186</v>
      </c>
      <c r="D66" s="31" t="s">
        <v>178</v>
      </c>
      <c r="E66" s="7">
        <v>46209</v>
      </c>
      <c r="F66" s="86" t="s">
        <v>285</v>
      </c>
      <c r="G66" s="86" t="s">
        <v>283</v>
      </c>
      <c r="H66" s="86" t="s">
        <v>301</v>
      </c>
      <c r="I66" s="5">
        <v>4758</v>
      </c>
      <c r="J66" s="6" t="s">
        <v>290</v>
      </c>
      <c r="K66" s="2">
        <v>8000</v>
      </c>
      <c r="L66" s="2">
        <f>+K66*0.975</f>
        <v>7800</v>
      </c>
      <c r="M66" s="12">
        <f>+L66-K66</f>
        <v>-200</v>
      </c>
      <c r="N66" s="21">
        <f>+L66/K66</f>
        <v>0.97499999999999998</v>
      </c>
      <c r="O66" s="8">
        <f>+E66+P66+1+3</f>
        <v>46233.830729492147</v>
      </c>
      <c r="P66" s="25">
        <f>+L66/Q66</f>
        <v>20.830729492146816</v>
      </c>
      <c r="Q66" s="51">
        <f>630*40/60*0.975*0.9144</f>
        <v>374.4468</v>
      </c>
    </row>
    <row r="67" spans="1:17">
      <c r="A67" s="78">
        <v>64</v>
      </c>
      <c r="B67" s="77" t="s">
        <v>174</v>
      </c>
      <c r="C67" s="33" t="s">
        <v>284</v>
      </c>
      <c r="D67" s="31" t="s">
        <v>178</v>
      </c>
      <c r="E67" s="7">
        <v>46205</v>
      </c>
      <c r="F67" s="11" t="s">
        <v>368</v>
      </c>
      <c r="G67" s="11" t="s">
        <v>367</v>
      </c>
      <c r="H67" s="4" t="s">
        <v>0</v>
      </c>
      <c r="I67" s="5">
        <v>4758</v>
      </c>
      <c r="J67" s="6" t="s">
        <v>85</v>
      </c>
      <c r="K67" s="2">
        <v>8000</v>
      </c>
      <c r="L67" s="2">
        <f t="shared" ref="L67" si="95">+K67*0.975</f>
        <v>7800</v>
      </c>
      <c r="M67" s="12">
        <f t="shared" ref="M67" si="96">+L67-K67</f>
        <v>-200</v>
      </c>
      <c r="N67" s="21">
        <f t="shared" ref="N67" si="97">+L67/K67</f>
        <v>0.97499999999999998</v>
      </c>
      <c r="O67" s="56">
        <f>E67+P67+1+3</f>
        <v>46229.830729492147</v>
      </c>
      <c r="P67" s="25">
        <f t="shared" ref="P67" si="98">+L67/Q67</f>
        <v>20.830729492146816</v>
      </c>
      <c r="Q67" s="51">
        <f t="shared" ref="Q67" si="99">630*40/60*0.975*0.9144</f>
        <v>374.4468</v>
      </c>
    </row>
    <row r="68" spans="1:17">
      <c r="A68" s="78">
        <v>65</v>
      </c>
      <c r="B68" s="79" t="s">
        <v>174</v>
      </c>
      <c r="C68" s="67" t="s">
        <v>186</v>
      </c>
      <c r="D68" s="31" t="s">
        <v>178</v>
      </c>
      <c r="E68" s="7">
        <v>46209</v>
      </c>
      <c r="F68" s="86" t="s">
        <v>285</v>
      </c>
      <c r="G68" s="86" t="s">
        <v>283</v>
      </c>
      <c r="H68" s="86" t="s">
        <v>301</v>
      </c>
      <c r="I68" s="5">
        <v>4758</v>
      </c>
      <c r="J68" s="6" t="s">
        <v>195</v>
      </c>
      <c r="K68" s="2">
        <v>8000</v>
      </c>
      <c r="L68" s="2">
        <f>+K68*0.975</f>
        <v>7800</v>
      </c>
      <c r="M68" s="12">
        <f>+L68-K68</f>
        <v>-200</v>
      </c>
      <c r="N68" s="21">
        <f>+L68/K68</f>
        <v>0.97499999999999998</v>
      </c>
      <c r="O68" s="8">
        <f>+E68+P68+1+3</f>
        <v>46233.830729492147</v>
      </c>
      <c r="P68" s="25">
        <f>+L68/Q68</f>
        <v>20.830729492146816</v>
      </c>
      <c r="Q68" s="51">
        <f>630*40/60*0.975*0.9144</f>
        <v>374.4468</v>
      </c>
    </row>
    <row r="69" spans="1:17">
      <c r="A69" s="78">
        <v>66</v>
      </c>
      <c r="B69" s="70" t="s">
        <v>191</v>
      </c>
      <c r="C69" s="33" t="s">
        <v>247</v>
      </c>
      <c r="D69" s="31" t="s">
        <v>178</v>
      </c>
      <c r="E69" s="7">
        <v>46200</v>
      </c>
      <c r="F69" s="86" t="s">
        <v>260</v>
      </c>
      <c r="G69" s="86" t="s">
        <v>261</v>
      </c>
      <c r="H69" s="4" t="s">
        <v>351</v>
      </c>
      <c r="I69" s="5">
        <v>6564</v>
      </c>
      <c r="J69" s="6" t="s">
        <v>353</v>
      </c>
      <c r="K69" s="2">
        <v>6100</v>
      </c>
      <c r="L69" s="2">
        <f t="shared" ref="L69:L70" si="100">+K69*0.95</f>
        <v>5795</v>
      </c>
      <c r="M69" s="2">
        <f t="shared" ref="M69:M70" si="101">+L69-K69</f>
        <v>-305</v>
      </c>
      <c r="N69" s="21">
        <f t="shared" ref="N69:N70" si="102">+L69/K69</f>
        <v>0.95</v>
      </c>
      <c r="O69" s="56">
        <f t="shared" ref="O69:O70" si="103">E69+P69+1+4</f>
        <v>46225.990775937491</v>
      </c>
      <c r="P69" s="24">
        <f>+L69/Q69</f>
        <v>20.990775937490572</v>
      </c>
      <c r="Q69" s="51">
        <f>580*40/73*0.95*0.9144</f>
        <v>276.07364383561645</v>
      </c>
    </row>
    <row r="70" spans="1:17">
      <c r="A70" s="78">
        <v>67</v>
      </c>
      <c r="B70" s="70" t="s">
        <v>191</v>
      </c>
      <c r="C70" s="33" t="s">
        <v>247</v>
      </c>
      <c r="D70" s="31" t="s">
        <v>178</v>
      </c>
      <c r="E70" s="7">
        <v>46200</v>
      </c>
      <c r="F70" s="86" t="s">
        <v>260</v>
      </c>
      <c r="G70" s="86" t="s">
        <v>261</v>
      </c>
      <c r="H70" s="4" t="s">
        <v>351</v>
      </c>
      <c r="I70" s="5">
        <v>6564</v>
      </c>
      <c r="J70" s="6" t="s">
        <v>354</v>
      </c>
      <c r="K70" s="2">
        <v>6100</v>
      </c>
      <c r="L70" s="2">
        <f t="shared" si="100"/>
        <v>5795</v>
      </c>
      <c r="M70" s="2">
        <f t="shared" si="101"/>
        <v>-305</v>
      </c>
      <c r="N70" s="21">
        <f t="shared" si="102"/>
        <v>0.95</v>
      </c>
      <c r="O70" s="56">
        <f t="shared" si="103"/>
        <v>46225.990775937491</v>
      </c>
      <c r="P70" s="24">
        <f>+L70/Q70</f>
        <v>20.990775937490572</v>
      </c>
      <c r="Q70" s="51">
        <f>580*40/73*0.95*0.9144</f>
        <v>276.07364383561645</v>
      </c>
    </row>
    <row r="71" spans="1:17">
      <c r="A71" s="78">
        <v>68</v>
      </c>
      <c r="B71" s="77" t="s">
        <v>174</v>
      </c>
      <c r="C71" s="33" t="s">
        <v>284</v>
      </c>
      <c r="D71" s="31" t="s">
        <v>178</v>
      </c>
      <c r="E71" s="7">
        <v>46206</v>
      </c>
      <c r="F71" s="11" t="s">
        <v>368</v>
      </c>
      <c r="G71" s="11" t="s">
        <v>367</v>
      </c>
      <c r="H71" s="4" t="s">
        <v>0</v>
      </c>
      <c r="I71" s="5">
        <v>4758</v>
      </c>
      <c r="J71" s="6" t="s">
        <v>223</v>
      </c>
      <c r="K71" s="2">
        <v>8000</v>
      </c>
      <c r="L71" s="2">
        <f t="shared" ref="L71" si="104">+K71*0.975</f>
        <v>7800</v>
      </c>
      <c r="M71" s="12">
        <f t="shared" ref="M71" si="105">+L71-K71</f>
        <v>-200</v>
      </c>
      <c r="N71" s="21">
        <f t="shared" ref="N71:N73" si="106">+L71/K71</f>
        <v>0.97499999999999998</v>
      </c>
      <c r="O71" s="56">
        <f>E71+P71+1+4</f>
        <v>46231.830729492147</v>
      </c>
      <c r="P71" s="25">
        <f t="shared" si="53"/>
        <v>20.830729492146816</v>
      </c>
      <c r="Q71" s="51">
        <f t="shared" ref="Q71" si="107">630*40/60*0.975*0.9144</f>
        <v>374.4468</v>
      </c>
    </row>
    <row r="72" spans="1:17">
      <c r="A72" s="78">
        <v>69</v>
      </c>
      <c r="B72" s="70" t="s">
        <v>248</v>
      </c>
      <c r="C72" s="33" t="s">
        <v>184</v>
      </c>
      <c r="D72" s="31" t="s">
        <v>178</v>
      </c>
      <c r="E72" s="7">
        <v>46205</v>
      </c>
      <c r="F72" s="4" t="s">
        <v>310</v>
      </c>
      <c r="G72" s="4" t="s">
        <v>309</v>
      </c>
      <c r="H72" s="4" t="s">
        <v>249</v>
      </c>
      <c r="I72" s="5">
        <v>4650</v>
      </c>
      <c r="J72" s="36" t="s">
        <v>363</v>
      </c>
      <c r="K72" s="2">
        <v>7000</v>
      </c>
      <c r="L72" s="25">
        <f t="shared" ref="L72" si="108">+K72*0.95</f>
        <v>6650</v>
      </c>
      <c r="M72" s="2">
        <f t="shared" ref="M72" si="109">L72-K72</f>
        <v>-350</v>
      </c>
      <c r="N72" s="22">
        <f t="shared" si="106"/>
        <v>0.95</v>
      </c>
      <c r="O72" s="56">
        <f>E72+P72+1+3</f>
        <v>46223.835452968553</v>
      </c>
      <c r="P72" s="39">
        <f t="shared" ref="P72" si="110">L72/Q72</f>
        <v>14.835452968552541</v>
      </c>
      <c r="Q72" s="27">
        <f t="shared" ref="Q72" si="111">600*40/47*0.96*0.9144</f>
        <v>448.25055319148936</v>
      </c>
    </row>
    <row r="73" spans="1:17">
      <c r="A73" s="78">
        <v>70</v>
      </c>
      <c r="B73" s="77" t="s">
        <v>174</v>
      </c>
      <c r="C73" s="33" t="s">
        <v>284</v>
      </c>
      <c r="D73" s="31" t="s">
        <v>178</v>
      </c>
      <c r="E73" s="7">
        <v>46214</v>
      </c>
      <c r="F73" s="11" t="s">
        <v>368</v>
      </c>
      <c r="G73" s="11" t="s">
        <v>367</v>
      </c>
      <c r="H73" s="4" t="s">
        <v>0</v>
      </c>
      <c r="I73" s="5">
        <v>4758</v>
      </c>
      <c r="J73" s="6" t="s">
        <v>22</v>
      </c>
      <c r="K73" s="2">
        <v>8000</v>
      </c>
      <c r="L73" s="2">
        <f t="shared" ref="L73" si="112">+K73*0.975</f>
        <v>7800</v>
      </c>
      <c r="M73" s="12">
        <f t="shared" ref="M73" si="113">+L73-K73</f>
        <v>-200</v>
      </c>
      <c r="N73" s="21">
        <f t="shared" si="106"/>
        <v>0.97499999999999998</v>
      </c>
      <c r="O73" s="8">
        <f>+E73+P73+1+4</f>
        <v>46239.830729492147</v>
      </c>
      <c r="P73" s="25">
        <f t="shared" ref="P73" si="114">+L73/Q73</f>
        <v>20.830729492146816</v>
      </c>
      <c r="Q73" s="51">
        <f t="shared" ref="Q73" si="115">630*40/60*0.975*0.9144</f>
        <v>374.4468</v>
      </c>
    </row>
    <row r="74" spans="1:17">
      <c r="A74" s="78">
        <v>71</v>
      </c>
      <c r="B74" s="77" t="s">
        <v>174</v>
      </c>
      <c r="C74" s="33" t="s">
        <v>284</v>
      </c>
      <c r="D74" s="31" t="s">
        <v>178</v>
      </c>
      <c r="E74" s="7">
        <v>46206</v>
      </c>
      <c r="F74" s="11" t="s">
        <v>368</v>
      </c>
      <c r="G74" s="11" t="s">
        <v>367</v>
      </c>
      <c r="H74" s="4" t="s">
        <v>0</v>
      </c>
      <c r="I74" s="5">
        <v>4758</v>
      </c>
      <c r="J74" s="6" t="s">
        <v>215</v>
      </c>
      <c r="K74" s="2">
        <v>8000</v>
      </c>
      <c r="L74" s="2">
        <f t="shared" ref="L74" si="116">+K74*0.975</f>
        <v>7800</v>
      </c>
      <c r="M74" s="12">
        <f t="shared" ref="M74" si="117">+L74-K74</f>
        <v>-200</v>
      </c>
      <c r="N74" s="21">
        <f t="shared" ref="N74:N75" si="118">+L74/K74</f>
        <v>0.97499999999999998</v>
      </c>
      <c r="O74" s="56">
        <f>E74+P74+1+4</f>
        <v>46231.830729492147</v>
      </c>
      <c r="P74" s="25">
        <f t="shared" ref="P74:P90" si="119">+L74/Q74</f>
        <v>20.830729492146816</v>
      </c>
      <c r="Q74" s="51">
        <f t="shared" ref="Q74" si="120">630*40/60*0.975*0.9144</f>
        <v>374.4468</v>
      </c>
    </row>
    <row r="75" spans="1:17">
      <c r="A75" s="78">
        <v>72</v>
      </c>
      <c r="B75" s="70" t="s">
        <v>248</v>
      </c>
      <c r="C75" s="33" t="s">
        <v>184</v>
      </c>
      <c r="D75" s="31" t="s">
        <v>178</v>
      </c>
      <c r="E75" s="7">
        <v>46205</v>
      </c>
      <c r="F75" s="4" t="s">
        <v>310</v>
      </c>
      <c r="G75" s="4" t="s">
        <v>309</v>
      </c>
      <c r="H75" s="4" t="s">
        <v>249</v>
      </c>
      <c r="I75" s="5">
        <v>4650</v>
      </c>
      <c r="J75" s="36" t="s">
        <v>364</v>
      </c>
      <c r="K75" s="2">
        <v>7000</v>
      </c>
      <c r="L75" s="25">
        <f t="shared" ref="L75" si="121">+K75*0.95</f>
        <v>6650</v>
      </c>
      <c r="M75" s="2">
        <f t="shared" ref="M75" si="122">L75-K75</f>
        <v>-350</v>
      </c>
      <c r="N75" s="22">
        <f t="shared" si="118"/>
        <v>0.95</v>
      </c>
      <c r="O75" s="56">
        <f>E75+P75+1+3</f>
        <v>46223.835452968553</v>
      </c>
      <c r="P75" s="39">
        <f t="shared" ref="P75" si="123">L75/Q75</f>
        <v>14.835452968552541</v>
      </c>
      <c r="Q75" s="27">
        <f t="shared" ref="Q75" si="124">600*40/47*0.96*0.9144</f>
        <v>448.25055319148936</v>
      </c>
    </row>
    <row r="76" spans="1:17">
      <c r="A76" s="78">
        <v>73</v>
      </c>
      <c r="B76" s="79" t="s">
        <v>174</v>
      </c>
      <c r="C76" s="67" t="s">
        <v>186</v>
      </c>
      <c r="D76" s="31" t="s">
        <v>178</v>
      </c>
      <c r="E76" s="7">
        <v>46188</v>
      </c>
      <c r="F76" s="86" t="s">
        <v>285</v>
      </c>
      <c r="G76" s="86" t="s">
        <v>283</v>
      </c>
      <c r="H76" s="86" t="s">
        <v>301</v>
      </c>
      <c r="I76" s="5">
        <v>4758</v>
      </c>
      <c r="J76" s="6" t="s">
        <v>102</v>
      </c>
      <c r="K76" s="2">
        <v>8000</v>
      </c>
      <c r="L76" s="2">
        <f t="shared" ref="L76:L90" si="125">+K76*0.975</f>
        <v>7800</v>
      </c>
      <c r="M76" s="12">
        <f t="shared" ref="M76:M97" si="126">+L76-K76</f>
        <v>-200</v>
      </c>
      <c r="N76" s="21">
        <f t="shared" ref="N76:N97" si="127">+L76/K76</f>
        <v>0.97499999999999998</v>
      </c>
      <c r="O76" s="8">
        <f>+E76+P76+1+3+8</f>
        <v>46220.830729492147</v>
      </c>
      <c r="P76" s="25">
        <f t="shared" si="119"/>
        <v>20.830729492146816</v>
      </c>
      <c r="Q76" s="51">
        <f t="shared" ref="Q76" si="128">630*40/60*0.975*0.9144</f>
        <v>374.4468</v>
      </c>
    </row>
    <row r="77" spans="1:17">
      <c r="A77" s="78">
        <v>74</v>
      </c>
      <c r="B77" s="79" t="s">
        <v>174</v>
      </c>
      <c r="C77" s="67" t="s">
        <v>186</v>
      </c>
      <c r="D77" s="31" t="s">
        <v>178</v>
      </c>
      <c r="E77" s="7">
        <v>46190</v>
      </c>
      <c r="F77" s="86" t="s">
        <v>285</v>
      </c>
      <c r="G77" s="86" t="s">
        <v>283</v>
      </c>
      <c r="H77" s="86" t="s">
        <v>301</v>
      </c>
      <c r="I77" s="5">
        <v>4758</v>
      </c>
      <c r="J77" s="6" t="s">
        <v>38</v>
      </c>
      <c r="K77" s="2">
        <v>8000</v>
      </c>
      <c r="L77" s="2">
        <f>+K77*0.975</f>
        <v>7800</v>
      </c>
      <c r="M77" s="12">
        <f>+L77-K77</f>
        <v>-200</v>
      </c>
      <c r="N77" s="21">
        <f>+L77/K77</f>
        <v>0.97499999999999998</v>
      </c>
      <c r="O77" s="56">
        <f>E77+P77+1+3+7</f>
        <v>46221.830729492147</v>
      </c>
      <c r="P77" s="25">
        <f>+L77/Q77</f>
        <v>20.830729492146816</v>
      </c>
      <c r="Q77" s="51">
        <f>630*40/60*0.975*0.9144</f>
        <v>374.4468</v>
      </c>
    </row>
    <row r="78" spans="1:17">
      <c r="A78" s="78">
        <v>75</v>
      </c>
      <c r="B78" s="77" t="s">
        <v>174</v>
      </c>
      <c r="C78" s="33" t="s">
        <v>284</v>
      </c>
      <c r="D78" s="31" t="s">
        <v>178</v>
      </c>
      <c r="E78" s="7">
        <v>46212</v>
      </c>
      <c r="F78" s="11" t="s">
        <v>368</v>
      </c>
      <c r="G78" s="11" t="s">
        <v>367</v>
      </c>
      <c r="H78" s="4" t="s">
        <v>0</v>
      </c>
      <c r="I78" s="5">
        <v>4758</v>
      </c>
      <c r="J78" s="6" t="s">
        <v>157</v>
      </c>
      <c r="K78" s="2">
        <v>8000</v>
      </c>
      <c r="L78" s="2">
        <f t="shared" ref="L78" si="129">+K78*0.975</f>
        <v>7800</v>
      </c>
      <c r="M78" s="12">
        <f t="shared" ref="M78" si="130">+L78-K78</f>
        <v>-200</v>
      </c>
      <c r="N78" s="21">
        <f t="shared" ref="N78" si="131">+L78/K78</f>
        <v>0.97499999999999998</v>
      </c>
      <c r="O78" s="8">
        <f>+E78+P78+1+4</f>
        <v>46237.830729492147</v>
      </c>
      <c r="P78" s="25">
        <f t="shared" ref="P78" si="132">+L78/Q78</f>
        <v>20.830729492146816</v>
      </c>
      <c r="Q78" s="51">
        <f t="shared" ref="Q78" si="133">630*40/60*0.975*0.9144</f>
        <v>374.4468</v>
      </c>
    </row>
    <row r="79" spans="1:17" ht="15" customHeight="1">
      <c r="A79" s="78">
        <v>76</v>
      </c>
      <c r="B79" s="79" t="s">
        <v>174</v>
      </c>
      <c r="C79" s="67" t="s">
        <v>186</v>
      </c>
      <c r="D79" s="31" t="s">
        <v>178</v>
      </c>
      <c r="E79" s="7">
        <v>46209</v>
      </c>
      <c r="F79" s="86" t="s">
        <v>285</v>
      </c>
      <c r="G79" s="86" t="s">
        <v>283</v>
      </c>
      <c r="H79" s="86" t="s">
        <v>301</v>
      </c>
      <c r="I79" s="5">
        <v>4758</v>
      </c>
      <c r="J79" s="6" t="s">
        <v>47</v>
      </c>
      <c r="K79" s="2">
        <v>8000</v>
      </c>
      <c r="L79" s="2">
        <f>+K79*0.975</f>
        <v>7800</v>
      </c>
      <c r="M79" s="12">
        <f>+L79-K79</f>
        <v>-200</v>
      </c>
      <c r="N79" s="21">
        <f>+L79/K79</f>
        <v>0.97499999999999998</v>
      </c>
      <c r="O79" s="8">
        <f>+E79+P79+1+3</f>
        <v>46233.830729492147</v>
      </c>
      <c r="P79" s="25">
        <f>+L79/Q79</f>
        <v>20.830729492146816</v>
      </c>
      <c r="Q79" s="51">
        <f>630*40/60*0.975*0.9144</f>
        <v>374.4468</v>
      </c>
    </row>
    <row r="80" spans="1:17" ht="15" customHeight="1">
      <c r="A80" s="78">
        <v>77</v>
      </c>
      <c r="B80" s="77" t="s">
        <v>174</v>
      </c>
      <c r="C80" s="33" t="s">
        <v>284</v>
      </c>
      <c r="D80" s="31" t="s">
        <v>178</v>
      </c>
      <c r="E80" s="7">
        <v>46218</v>
      </c>
      <c r="F80" s="11" t="s">
        <v>368</v>
      </c>
      <c r="G80" s="11" t="s">
        <v>367</v>
      </c>
      <c r="H80" s="4" t="s">
        <v>0</v>
      </c>
      <c r="I80" s="5">
        <v>4758</v>
      </c>
      <c r="J80" s="6" t="s">
        <v>153</v>
      </c>
      <c r="K80" s="2">
        <v>8000</v>
      </c>
      <c r="L80" s="2">
        <f t="shared" ref="L80" si="134">+K80*0.975</f>
        <v>7800</v>
      </c>
      <c r="M80" s="12">
        <f t="shared" ref="M80" si="135">+L80-K80</f>
        <v>-200</v>
      </c>
      <c r="N80" s="21">
        <f t="shared" ref="N80" si="136">+L80/K80</f>
        <v>0.97499999999999998</v>
      </c>
      <c r="O80" s="8">
        <f>+E80+P80+1+3</f>
        <v>46242.830729492147</v>
      </c>
      <c r="P80" s="25">
        <f t="shared" ref="P80" si="137">+L80/Q80</f>
        <v>20.830729492146816</v>
      </c>
      <c r="Q80" s="51">
        <f t="shared" ref="Q80" si="138">630*40/60*0.975*0.9144</f>
        <v>374.4468</v>
      </c>
    </row>
    <row r="81" spans="1:17 3262:3267" ht="15" customHeight="1">
      <c r="A81" s="78">
        <v>78</v>
      </c>
      <c r="B81" s="79" t="s">
        <v>174</v>
      </c>
      <c r="C81" s="67" t="s">
        <v>186</v>
      </c>
      <c r="D81" s="31" t="s">
        <v>178</v>
      </c>
      <c r="E81" s="7">
        <v>46220</v>
      </c>
      <c r="F81" s="86" t="s">
        <v>285</v>
      </c>
      <c r="G81" s="86" t="s">
        <v>283</v>
      </c>
      <c r="H81" s="86" t="s">
        <v>301</v>
      </c>
      <c r="I81" s="5">
        <v>4758</v>
      </c>
      <c r="J81" s="6" t="s">
        <v>286</v>
      </c>
      <c r="K81" s="2">
        <v>8000</v>
      </c>
      <c r="L81" s="2">
        <f t="shared" si="125"/>
        <v>7800</v>
      </c>
      <c r="M81" s="12">
        <f t="shared" si="126"/>
        <v>-200</v>
      </c>
      <c r="N81" s="21">
        <f t="shared" si="127"/>
        <v>0.97499999999999998</v>
      </c>
      <c r="O81" s="8">
        <f>+E81+P81+1+4</f>
        <v>46245.830729492147</v>
      </c>
      <c r="P81" s="25">
        <f t="shared" si="119"/>
        <v>20.830729492146816</v>
      </c>
      <c r="Q81" s="51">
        <f t="shared" ref="Q81:Q104" si="139">630*40/60*0.975*0.9144</f>
        <v>374.4468</v>
      </c>
    </row>
    <row r="82" spans="1:17 3262:3267">
      <c r="A82" s="78">
        <v>79</v>
      </c>
      <c r="B82" s="77" t="s">
        <v>174</v>
      </c>
      <c r="C82" s="33" t="s">
        <v>284</v>
      </c>
      <c r="D82" s="31" t="s">
        <v>178</v>
      </c>
      <c r="E82" s="7">
        <v>46213</v>
      </c>
      <c r="F82" s="11" t="s">
        <v>368</v>
      </c>
      <c r="G82" s="11" t="s">
        <v>367</v>
      </c>
      <c r="H82" s="4" t="s">
        <v>0</v>
      </c>
      <c r="I82" s="5">
        <v>4758</v>
      </c>
      <c r="J82" s="6" t="s">
        <v>169</v>
      </c>
      <c r="K82" s="2">
        <v>8000</v>
      </c>
      <c r="L82" s="2">
        <f t="shared" si="125"/>
        <v>7800</v>
      </c>
      <c r="M82" s="12">
        <f t="shared" si="126"/>
        <v>-200</v>
      </c>
      <c r="N82" s="21">
        <f t="shared" si="127"/>
        <v>0.97499999999999998</v>
      </c>
      <c r="O82" s="8">
        <f>+E82+P82+1+4</f>
        <v>46238.830729492147</v>
      </c>
      <c r="P82" s="25">
        <f t="shared" si="119"/>
        <v>20.830729492146816</v>
      </c>
      <c r="Q82" s="51">
        <f t="shared" si="139"/>
        <v>374.4468</v>
      </c>
    </row>
    <row r="83" spans="1:17 3262:3267">
      <c r="A83" s="78">
        <v>80</v>
      </c>
      <c r="B83" s="77" t="s">
        <v>174</v>
      </c>
      <c r="C83" s="33" t="s">
        <v>284</v>
      </c>
      <c r="D83" s="31" t="s">
        <v>178</v>
      </c>
      <c r="E83" s="7">
        <v>46219</v>
      </c>
      <c r="F83" s="11" t="s">
        <v>368</v>
      </c>
      <c r="G83" s="11" t="s">
        <v>367</v>
      </c>
      <c r="H83" s="4" t="s">
        <v>0</v>
      </c>
      <c r="I83" s="5">
        <v>4758</v>
      </c>
      <c r="J83" s="6" t="s">
        <v>31</v>
      </c>
      <c r="K83" s="2">
        <v>8000</v>
      </c>
      <c r="L83" s="2">
        <f t="shared" si="125"/>
        <v>7800</v>
      </c>
      <c r="M83" s="12">
        <f t="shared" si="126"/>
        <v>-200</v>
      </c>
      <c r="N83" s="21">
        <f t="shared" si="127"/>
        <v>0.97499999999999998</v>
      </c>
      <c r="O83" s="8">
        <f>+E83+P83+1+4</f>
        <v>46244.830729492147</v>
      </c>
      <c r="P83" s="25">
        <f t="shared" si="119"/>
        <v>20.830729492146816</v>
      </c>
      <c r="Q83" s="51">
        <f t="shared" si="139"/>
        <v>374.4468</v>
      </c>
    </row>
    <row r="84" spans="1:17 3262:3267">
      <c r="A84" s="78">
        <v>81</v>
      </c>
      <c r="B84" s="77" t="s">
        <v>174</v>
      </c>
      <c r="C84" s="33" t="s">
        <v>284</v>
      </c>
      <c r="D84" s="31" t="s">
        <v>178</v>
      </c>
      <c r="E84" s="7">
        <v>46220</v>
      </c>
      <c r="F84" s="11" t="s">
        <v>368</v>
      </c>
      <c r="G84" s="11" t="s">
        <v>367</v>
      </c>
      <c r="H84" s="4" t="s">
        <v>0</v>
      </c>
      <c r="I84" s="5">
        <v>4758</v>
      </c>
      <c r="J84" s="6" t="s">
        <v>405</v>
      </c>
      <c r="K84" s="2">
        <v>8000</v>
      </c>
      <c r="L84" s="2">
        <f t="shared" si="125"/>
        <v>7800</v>
      </c>
      <c r="M84" s="12">
        <f t="shared" si="126"/>
        <v>-200</v>
      </c>
      <c r="N84" s="21">
        <f t="shared" si="127"/>
        <v>0.97499999999999998</v>
      </c>
      <c r="O84" s="8">
        <f>+E84+P84+1+4</f>
        <v>46245.830729492147</v>
      </c>
      <c r="P84" s="25">
        <f t="shared" si="119"/>
        <v>20.830729492146816</v>
      </c>
      <c r="Q84" s="51">
        <f t="shared" si="139"/>
        <v>374.4468</v>
      </c>
    </row>
    <row r="85" spans="1:17 3262:3267">
      <c r="A85" s="78">
        <v>82</v>
      </c>
      <c r="B85" s="77" t="s">
        <v>174</v>
      </c>
      <c r="C85" s="33" t="s">
        <v>284</v>
      </c>
      <c r="D85" s="31" t="s">
        <v>178</v>
      </c>
      <c r="E85" s="7">
        <v>46207</v>
      </c>
      <c r="F85" s="11" t="s">
        <v>368</v>
      </c>
      <c r="G85" s="11" t="s">
        <v>367</v>
      </c>
      <c r="H85" s="4" t="s">
        <v>0</v>
      </c>
      <c r="I85" s="5">
        <v>4758</v>
      </c>
      <c r="J85" s="6" t="s">
        <v>188</v>
      </c>
      <c r="K85" s="2">
        <v>8000</v>
      </c>
      <c r="L85" s="2">
        <f t="shared" si="125"/>
        <v>7800</v>
      </c>
      <c r="M85" s="12">
        <f t="shared" si="126"/>
        <v>-200</v>
      </c>
      <c r="N85" s="21">
        <f t="shared" si="127"/>
        <v>0.97499999999999998</v>
      </c>
      <c r="O85" s="56">
        <f>E85+P85+1+4</f>
        <v>46232.830729492147</v>
      </c>
      <c r="P85" s="25">
        <f t="shared" si="119"/>
        <v>20.830729492146816</v>
      </c>
      <c r="Q85" s="51">
        <f>630*40/60*0.975*0.9144</f>
        <v>374.4468</v>
      </c>
    </row>
    <row r="86" spans="1:17 3262:3267">
      <c r="A86" s="78">
        <v>83</v>
      </c>
      <c r="B86" s="79" t="s">
        <v>174</v>
      </c>
      <c r="C86" s="67" t="s">
        <v>186</v>
      </c>
      <c r="D86" s="31" t="s">
        <v>178</v>
      </c>
      <c r="E86" s="7">
        <v>46219</v>
      </c>
      <c r="F86" s="86" t="s">
        <v>285</v>
      </c>
      <c r="G86" s="86" t="s">
        <v>283</v>
      </c>
      <c r="H86" s="86" t="s">
        <v>301</v>
      </c>
      <c r="I86" s="5">
        <v>4758</v>
      </c>
      <c r="J86" s="6" t="s">
        <v>117</v>
      </c>
      <c r="K86" s="2">
        <v>8000</v>
      </c>
      <c r="L86" s="2">
        <f t="shared" ref="L86:L87" si="140">+K86*0.975</f>
        <v>7800</v>
      </c>
      <c r="M86" s="12">
        <f t="shared" ref="M86:M87" si="141">+L86-K86</f>
        <v>-200</v>
      </c>
      <c r="N86" s="21">
        <f t="shared" ref="N86:N87" si="142">+L86/K86</f>
        <v>0.97499999999999998</v>
      </c>
      <c r="O86" s="8">
        <f t="shared" ref="O86:O87" si="143">+E86+P86+1+4</f>
        <v>46244.830729492147</v>
      </c>
      <c r="P86" s="25">
        <f t="shared" ref="P86:P87" si="144">+L86/Q86</f>
        <v>20.830729492146816</v>
      </c>
      <c r="Q86" s="51">
        <f t="shared" ref="Q86:Q87" si="145">630*40/60*0.975*0.9144</f>
        <v>374.4468</v>
      </c>
    </row>
    <row r="87" spans="1:17 3262:3267">
      <c r="A87" s="78">
        <v>84</v>
      </c>
      <c r="B87" s="77" t="s">
        <v>174</v>
      </c>
      <c r="C87" s="33" t="s">
        <v>284</v>
      </c>
      <c r="D87" s="31" t="s">
        <v>178</v>
      </c>
      <c r="E87" s="7">
        <v>46219</v>
      </c>
      <c r="F87" s="11" t="s">
        <v>368</v>
      </c>
      <c r="G87" s="11" t="s">
        <v>367</v>
      </c>
      <c r="H87" s="4" t="s">
        <v>0</v>
      </c>
      <c r="I87" s="5">
        <v>4758</v>
      </c>
      <c r="J87" s="6" t="s">
        <v>51</v>
      </c>
      <c r="K87" s="2">
        <v>8000</v>
      </c>
      <c r="L87" s="2">
        <f t="shared" si="140"/>
        <v>7800</v>
      </c>
      <c r="M87" s="12">
        <f t="shared" si="141"/>
        <v>-200</v>
      </c>
      <c r="N87" s="21">
        <f t="shared" si="142"/>
        <v>0.97499999999999998</v>
      </c>
      <c r="O87" s="8">
        <f t="shared" si="143"/>
        <v>46244.830729492147</v>
      </c>
      <c r="P87" s="25">
        <f t="shared" si="144"/>
        <v>20.830729492146816</v>
      </c>
      <c r="Q87" s="51">
        <f t="shared" si="145"/>
        <v>374.4468</v>
      </c>
      <c r="DUL87" s="35"/>
      <c r="DUM87" s="35"/>
      <c r="DUN87" s="35"/>
      <c r="DUO87" s="35"/>
      <c r="DUP87" s="35"/>
      <c r="DUQ87" s="35"/>
    </row>
    <row r="88" spans="1:17 3262:3267">
      <c r="A88" s="78">
        <v>85</v>
      </c>
      <c r="B88" s="77" t="s">
        <v>174</v>
      </c>
      <c r="C88" s="33" t="s">
        <v>284</v>
      </c>
      <c r="D88" s="31" t="s">
        <v>178</v>
      </c>
      <c r="E88" s="7">
        <v>46217</v>
      </c>
      <c r="F88" s="11" t="s">
        <v>368</v>
      </c>
      <c r="G88" s="11" t="s">
        <v>367</v>
      </c>
      <c r="H88" s="4" t="s">
        <v>0</v>
      </c>
      <c r="I88" s="5">
        <v>4758</v>
      </c>
      <c r="J88" s="6" t="s">
        <v>25</v>
      </c>
      <c r="K88" s="2">
        <v>8000</v>
      </c>
      <c r="L88" s="2">
        <f t="shared" si="125"/>
        <v>7800</v>
      </c>
      <c r="M88" s="12">
        <f t="shared" si="126"/>
        <v>-200</v>
      </c>
      <c r="N88" s="21">
        <f t="shared" si="127"/>
        <v>0.97499999999999998</v>
      </c>
      <c r="O88" s="8">
        <f>+E88+P88+1+3</f>
        <v>46241.830729492147</v>
      </c>
      <c r="P88" s="25">
        <f t="shared" si="119"/>
        <v>20.830729492146816</v>
      </c>
      <c r="Q88" s="51">
        <f t="shared" si="139"/>
        <v>374.4468</v>
      </c>
    </row>
    <row r="89" spans="1:17 3262:3267">
      <c r="A89" s="78">
        <v>86</v>
      </c>
      <c r="B89" s="77" t="s">
        <v>174</v>
      </c>
      <c r="C89" s="33" t="s">
        <v>75</v>
      </c>
      <c r="D89" s="31" t="s">
        <v>178</v>
      </c>
      <c r="E89" s="7">
        <v>46199</v>
      </c>
      <c r="F89" s="11" t="s">
        <v>282</v>
      </c>
      <c r="G89" s="11" t="s">
        <v>281</v>
      </c>
      <c r="H89" s="4" t="s">
        <v>0</v>
      </c>
      <c r="I89" s="5">
        <v>4758</v>
      </c>
      <c r="J89" s="6" t="s">
        <v>145</v>
      </c>
      <c r="K89" s="2">
        <v>8000</v>
      </c>
      <c r="L89" s="2">
        <f t="shared" si="125"/>
        <v>7800</v>
      </c>
      <c r="M89" s="12">
        <f t="shared" si="126"/>
        <v>-200</v>
      </c>
      <c r="N89" s="21">
        <f t="shared" si="127"/>
        <v>0.97499999999999998</v>
      </c>
      <c r="O89" s="56">
        <f>E89+P89+1+4</f>
        <v>46224.830729492147</v>
      </c>
      <c r="P89" s="25">
        <f t="shared" si="119"/>
        <v>20.830729492146816</v>
      </c>
      <c r="Q89" s="51">
        <f t="shared" si="139"/>
        <v>374.4468</v>
      </c>
    </row>
    <row r="90" spans="1:17 3262:3267">
      <c r="A90" s="78">
        <v>87</v>
      </c>
      <c r="B90" s="77" t="s">
        <v>174</v>
      </c>
      <c r="C90" s="33" t="s">
        <v>284</v>
      </c>
      <c r="D90" s="31" t="s">
        <v>178</v>
      </c>
      <c r="E90" s="7">
        <v>46217</v>
      </c>
      <c r="F90" s="11" t="s">
        <v>368</v>
      </c>
      <c r="G90" s="11" t="s">
        <v>367</v>
      </c>
      <c r="H90" s="4" t="s">
        <v>0</v>
      </c>
      <c r="I90" s="5">
        <v>4758</v>
      </c>
      <c r="J90" s="6" t="s">
        <v>120</v>
      </c>
      <c r="K90" s="2">
        <v>8000</v>
      </c>
      <c r="L90" s="2">
        <f t="shared" si="125"/>
        <v>7800</v>
      </c>
      <c r="M90" s="12">
        <f t="shared" si="126"/>
        <v>-200</v>
      </c>
      <c r="N90" s="21">
        <f t="shared" si="127"/>
        <v>0.97499999999999998</v>
      </c>
      <c r="O90" s="8">
        <f>+E90+P90+1+3</f>
        <v>46241.830729492147</v>
      </c>
      <c r="P90" s="25">
        <f t="shared" si="119"/>
        <v>20.830729492146816</v>
      </c>
      <c r="Q90" s="51">
        <f t="shared" si="139"/>
        <v>374.4468</v>
      </c>
    </row>
    <row r="91" spans="1:17 3262:3267">
      <c r="A91" s="78">
        <v>88</v>
      </c>
      <c r="B91" s="77" t="s">
        <v>174</v>
      </c>
      <c r="C91" s="33" t="s">
        <v>284</v>
      </c>
      <c r="D91" s="31" t="s">
        <v>178</v>
      </c>
      <c r="E91" s="7">
        <v>46207</v>
      </c>
      <c r="F91" s="11" t="s">
        <v>368</v>
      </c>
      <c r="G91" s="11" t="s">
        <v>367</v>
      </c>
      <c r="H91" s="4" t="s">
        <v>0</v>
      </c>
      <c r="I91" s="5">
        <v>4758</v>
      </c>
      <c r="J91" s="6" t="s">
        <v>100</v>
      </c>
      <c r="K91" s="2">
        <v>8000</v>
      </c>
      <c r="L91" s="2">
        <f t="shared" ref="L91" si="146">+K91*0.975</f>
        <v>7800</v>
      </c>
      <c r="M91" s="12">
        <f t="shared" ref="M91" si="147">+L91-K91</f>
        <v>-200</v>
      </c>
      <c r="N91" s="21">
        <f t="shared" ref="N91" si="148">+L91/K91</f>
        <v>0.97499999999999998</v>
      </c>
      <c r="O91" s="56">
        <f>E91+P91+1+4</f>
        <v>46232.830729492147</v>
      </c>
      <c r="P91" s="25">
        <f t="shared" ref="P91" si="149">+L91/Q91</f>
        <v>20.830729492146816</v>
      </c>
      <c r="Q91" s="51">
        <f>630*40/60*0.975*0.9144</f>
        <v>374.4468</v>
      </c>
    </row>
    <row r="92" spans="1:17 3262:3267">
      <c r="A92" s="78">
        <v>89</v>
      </c>
      <c r="B92" s="77" t="s">
        <v>174</v>
      </c>
      <c r="C92" s="33" t="s">
        <v>75</v>
      </c>
      <c r="D92" s="31" t="s">
        <v>178</v>
      </c>
      <c r="E92" s="7">
        <v>46200</v>
      </c>
      <c r="F92" s="11" t="s">
        <v>282</v>
      </c>
      <c r="G92" s="11" t="s">
        <v>281</v>
      </c>
      <c r="H92" s="4" t="s">
        <v>0</v>
      </c>
      <c r="I92" s="5">
        <v>4758</v>
      </c>
      <c r="J92" s="6" t="s">
        <v>355</v>
      </c>
      <c r="K92" s="2">
        <v>8000</v>
      </c>
      <c r="L92" s="2">
        <f t="shared" ref="L92:L93" si="150">+K92*0.975</f>
        <v>7800</v>
      </c>
      <c r="M92" s="12">
        <f t="shared" ref="M92:M93" si="151">+L92-K92</f>
        <v>-200</v>
      </c>
      <c r="N92" s="21">
        <f t="shared" ref="N92:N93" si="152">+L92/K92</f>
        <v>0.97499999999999998</v>
      </c>
      <c r="O92" s="56">
        <f>E92+P92+1+4</f>
        <v>46225.830729492147</v>
      </c>
      <c r="P92" s="25">
        <f t="shared" ref="P92:P93" si="153">+L92/Q92</f>
        <v>20.830729492146816</v>
      </c>
      <c r="Q92" s="51">
        <f t="shared" ref="Q92:Q93" si="154">630*40/60*0.975*0.9144</f>
        <v>374.4468</v>
      </c>
    </row>
    <row r="93" spans="1:17 3262:3267">
      <c r="A93" s="78">
        <v>90</v>
      </c>
      <c r="B93" s="77" t="s">
        <v>174</v>
      </c>
      <c r="C93" s="33" t="s">
        <v>284</v>
      </c>
      <c r="D93" s="31" t="s">
        <v>178</v>
      </c>
      <c r="E93" s="7">
        <v>46212</v>
      </c>
      <c r="F93" s="11" t="s">
        <v>368</v>
      </c>
      <c r="G93" s="11" t="s">
        <v>367</v>
      </c>
      <c r="H93" s="4" t="s">
        <v>0</v>
      </c>
      <c r="I93" s="5">
        <v>4758</v>
      </c>
      <c r="J93" s="6" t="s">
        <v>24</v>
      </c>
      <c r="K93" s="2">
        <v>8000</v>
      </c>
      <c r="L93" s="2">
        <f t="shared" si="150"/>
        <v>7800</v>
      </c>
      <c r="M93" s="12">
        <f t="shared" si="151"/>
        <v>-200</v>
      </c>
      <c r="N93" s="21">
        <f t="shared" si="152"/>
        <v>0.97499999999999998</v>
      </c>
      <c r="O93" s="8">
        <f>+E93+P93+1+4</f>
        <v>46237.830729492147</v>
      </c>
      <c r="P93" s="25">
        <f t="shared" si="153"/>
        <v>20.830729492146816</v>
      </c>
      <c r="Q93" s="51">
        <f t="shared" si="154"/>
        <v>374.4468</v>
      </c>
    </row>
    <row r="94" spans="1:17 3262:3267">
      <c r="A94" s="78">
        <v>91</v>
      </c>
      <c r="B94" s="79" t="s">
        <v>174</v>
      </c>
      <c r="C94" s="67" t="s">
        <v>186</v>
      </c>
      <c r="D94" s="31" t="s">
        <v>178</v>
      </c>
      <c r="E94" s="7">
        <v>46219</v>
      </c>
      <c r="F94" s="86" t="s">
        <v>285</v>
      </c>
      <c r="G94" s="86" t="s">
        <v>283</v>
      </c>
      <c r="H94" s="86" t="s">
        <v>301</v>
      </c>
      <c r="I94" s="5">
        <v>4758</v>
      </c>
      <c r="J94" s="6" t="s">
        <v>275</v>
      </c>
      <c r="K94" s="2">
        <v>8000</v>
      </c>
      <c r="L94" s="2">
        <f>+K94*0.975</f>
        <v>7800</v>
      </c>
      <c r="M94" s="12">
        <f>+L94-K94</f>
        <v>-200</v>
      </c>
      <c r="N94" s="21">
        <f>+L94/K94</f>
        <v>0.97499999999999998</v>
      </c>
      <c r="O94" s="8">
        <f t="shared" ref="O94:O95" si="155">+E94+P94+1+4</f>
        <v>46244.830729492147</v>
      </c>
      <c r="P94" s="25">
        <f>+L94/Q94</f>
        <v>20.830729492146816</v>
      </c>
      <c r="Q94" s="51">
        <f>630*40/60*0.975*0.9144</f>
        <v>374.4468</v>
      </c>
    </row>
    <row r="95" spans="1:17 3262:3267">
      <c r="A95" s="78">
        <v>92</v>
      </c>
      <c r="B95" s="77" t="s">
        <v>174</v>
      </c>
      <c r="C95" s="33" t="s">
        <v>284</v>
      </c>
      <c r="D95" s="31" t="s">
        <v>178</v>
      </c>
      <c r="E95" s="7">
        <v>46219</v>
      </c>
      <c r="F95" s="11" t="s">
        <v>368</v>
      </c>
      <c r="G95" s="11" t="s">
        <v>367</v>
      </c>
      <c r="H95" s="4" t="s">
        <v>0</v>
      </c>
      <c r="I95" s="5">
        <v>4758</v>
      </c>
      <c r="J95" s="6" t="s">
        <v>221</v>
      </c>
      <c r="K95" s="2">
        <v>8000</v>
      </c>
      <c r="L95" s="2">
        <f t="shared" ref="L95" si="156">+K95*0.975</f>
        <v>7800</v>
      </c>
      <c r="M95" s="12">
        <f t="shared" ref="M95" si="157">+L95-K95</f>
        <v>-200</v>
      </c>
      <c r="N95" s="21">
        <f t="shared" ref="N95" si="158">+L95/K95</f>
        <v>0.97499999999999998</v>
      </c>
      <c r="O95" s="8">
        <f t="shared" si="155"/>
        <v>46244.830729492147</v>
      </c>
      <c r="P95" s="25">
        <f t="shared" ref="P95" si="159">+L95/Q95</f>
        <v>20.830729492146816</v>
      </c>
      <c r="Q95" s="51">
        <f t="shared" ref="Q95" si="160">630*40/60*0.975*0.9144</f>
        <v>374.4468</v>
      </c>
    </row>
    <row r="96" spans="1:17 3262:3267">
      <c r="A96" s="78">
        <v>93</v>
      </c>
      <c r="B96" s="79" t="s">
        <v>174</v>
      </c>
      <c r="C96" s="67" t="s">
        <v>186</v>
      </c>
      <c r="D96" s="31" t="s">
        <v>178</v>
      </c>
      <c r="E96" s="7">
        <v>46191</v>
      </c>
      <c r="F96" s="86" t="s">
        <v>285</v>
      </c>
      <c r="G96" s="86" t="s">
        <v>283</v>
      </c>
      <c r="H96" s="86" t="s">
        <v>301</v>
      </c>
      <c r="I96" s="5">
        <v>4758</v>
      </c>
      <c r="J96" s="6" t="s">
        <v>160</v>
      </c>
      <c r="K96" s="2">
        <v>8000</v>
      </c>
      <c r="L96" s="2">
        <f>+K96*0.975</f>
        <v>7800</v>
      </c>
      <c r="M96" s="12">
        <f>+L96-K96</f>
        <v>-200</v>
      </c>
      <c r="N96" s="21">
        <f>+L96/K96</f>
        <v>0.97499999999999998</v>
      </c>
      <c r="O96" s="56">
        <f>E96+P96+1+4+6</f>
        <v>46222.830729492147</v>
      </c>
      <c r="P96" s="25">
        <f>+L96/Q96</f>
        <v>20.830729492146816</v>
      </c>
      <c r="Q96" s="51">
        <f>630*40/60*0.975*0.9144</f>
        <v>374.4468</v>
      </c>
    </row>
    <row r="97" spans="1:17">
      <c r="A97" s="78">
        <v>94</v>
      </c>
      <c r="B97" s="77" t="s">
        <v>174</v>
      </c>
      <c r="C97" s="33" t="s">
        <v>284</v>
      </c>
      <c r="D97" s="31" t="s">
        <v>178</v>
      </c>
      <c r="E97" s="7">
        <v>46203</v>
      </c>
      <c r="F97" s="11" t="s">
        <v>282</v>
      </c>
      <c r="G97" s="11" t="s">
        <v>281</v>
      </c>
      <c r="H97" s="4" t="s">
        <v>0</v>
      </c>
      <c r="I97" s="5">
        <v>4758</v>
      </c>
      <c r="J97" s="6" t="s">
        <v>164</v>
      </c>
      <c r="K97" s="2">
        <v>8000</v>
      </c>
      <c r="L97" s="2">
        <f t="shared" ref="L97" si="161">+K97*0.975</f>
        <v>7800</v>
      </c>
      <c r="M97" s="12">
        <f t="shared" si="126"/>
        <v>-200</v>
      </c>
      <c r="N97" s="21">
        <f t="shared" si="127"/>
        <v>0.97499999999999998</v>
      </c>
      <c r="O97" s="56">
        <f>E97+P97+1+3</f>
        <v>46227.830729492147</v>
      </c>
      <c r="P97" s="25">
        <f t="shared" ref="P97" si="162">+L97/Q97</f>
        <v>20.830729492146816</v>
      </c>
      <c r="Q97" s="51">
        <f>630*40/60*0.975*0.9144</f>
        <v>374.4468</v>
      </c>
    </row>
    <row r="98" spans="1:17">
      <c r="A98" s="78">
        <v>95</v>
      </c>
      <c r="B98" s="79" t="s">
        <v>174</v>
      </c>
      <c r="C98" s="67" t="s">
        <v>186</v>
      </c>
      <c r="D98" s="31" t="s">
        <v>178</v>
      </c>
      <c r="E98" s="7">
        <v>46209</v>
      </c>
      <c r="F98" s="86" t="s">
        <v>285</v>
      </c>
      <c r="G98" s="86" t="s">
        <v>283</v>
      </c>
      <c r="H98" s="86" t="s">
        <v>301</v>
      </c>
      <c r="I98" s="5">
        <v>4758</v>
      </c>
      <c r="J98" s="6" t="s">
        <v>370</v>
      </c>
      <c r="K98" s="2">
        <v>8000</v>
      </c>
      <c r="L98" s="2">
        <f>+K98*0.975</f>
        <v>7800</v>
      </c>
      <c r="M98" s="12">
        <f>+L98-K98</f>
        <v>-200</v>
      </c>
      <c r="N98" s="21">
        <f>+L98/K98</f>
        <v>0.97499999999999998</v>
      </c>
      <c r="O98" s="8">
        <f>+E98+P98+1+3</f>
        <v>46233.830729492147</v>
      </c>
      <c r="P98" s="25">
        <f>+L98/Q98</f>
        <v>20.830729492146816</v>
      </c>
      <c r="Q98" s="51">
        <f>630*40/60*0.975*0.9144</f>
        <v>374.4468</v>
      </c>
    </row>
    <row r="99" spans="1:17">
      <c r="A99" s="78">
        <v>96</v>
      </c>
      <c r="B99" s="79" t="s">
        <v>174</v>
      </c>
      <c r="C99" s="67" t="s">
        <v>186</v>
      </c>
      <c r="D99" s="31" t="s">
        <v>178</v>
      </c>
      <c r="E99" s="7">
        <v>46219</v>
      </c>
      <c r="F99" s="86" t="s">
        <v>285</v>
      </c>
      <c r="G99" s="86" t="s">
        <v>283</v>
      </c>
      <c r="H99" s="86" t="s">
        <v>301</v>
      </c>
      <c r="I99" s="5">
        <v>4758</v>
      </c>
      <c r="J99" s="6" t="s">
        <v>13</v>
      </c>
      <c r="K99" s="2">
        <v>8000</v>
      </c>
      <c r="L99" s="2">
        <f>+K99*0.975</f>
        <v>7800</v>
      </c>
      <c r="M99" s="12">
        <f>+L99-K99</f>
        <v>-200</v>
      </c>
      <c r="N99" s="21">
        <f>+L99/K99</f>
        <v>0.97499999999999998</v>
      </c>
      <c r="O99" s="8">
        <f>+E99+P99+1+4</f>
        <v>46244.830729492147</v>
      </c>
      <c r="P99" s="25">
        <f>+L99/Q99</f>
        <v>20.830729492146816</v>
      </c>
      <c r="Q99" s="51">
        <f>630*40/60*0.975*0.9144</f>
        <v>374.4468</v>
      </c>
    </row>
    <row r="100" spans="1:17">
      <c r="A100" s="78">
        <v>97</v>
      </c>
      <c r="B100" s="77" t="s">
        <v>174</v>
      </c>
      <c r="C100" s="33" t="s">
        <v>284</v>
      </c>
      <c r="D100" s="31" t="s">
        <v>178</v>
      </c>
      <c r="E100" s="7">
        <v>46213</v>
      </c>
      <c r="F100" s="11" t="s">
        <v>368</v>
      </c>
      <c r="G100" s="11" t="s">
        <v>367</v>
      </c>
      <c r="H100" s="4" t="s">
        <v>0</v>
      </c>
      <c r="I100" s="5">
        <v>4758</v>
      </c>
      <c r="J100" s="6" t="s">
        <v>63</v>
      </c>
      <c r="K100" s="2">
        <v>8000</v>
      </c>
      <c r="L100" s="2">
        <f t="shared" ref="L100" si="163">+K100*0.975</f>
        <v>7800</v>
      </c>
      <c r="M100" s="12">
        <f t="shared" ref="M100" si="164">+L100-K100</f>
        <v>-200</v>
      </c>
      <c r="N100" s="21">
        <f t="shared" ref="N100" si="165">+L100/K100</f>
        <v>0.97499999999999998</v>
      </c>
      <c r="O100" s="8">
        <f>+E100+P100+1+4</f>
        <v>46238.830729492147</v>
      </c>
      <c r="P100" s="25">
        <f t="shared" ref="P100" si="166">+L100/Q100</f>
        <v>20.830729492146816</v>
      </c>
      <c r="Q100" s="51">
        <f t="shared" ref="Q100" si="167">630*40/60*0.975*0.9144</f>
        <v>374.4468</v>
      </c>
    </row>
    <row r="101" spans="1:17">
      <c r="A101" s="78">
        <v>98</v>
      </c>
      <c r="B101" s="77" t="s">
        <v>174</v>
      </c>
      <c r="C101" s="33" t="s">
        <v>284</v>
      </c>
      <c r="D101" s="31" t="s">
        <v>178</v>
      </c>
      <c r="E101" s="7">
        <v>46212</v>
      </c>
      <c r="F101" s="11" t="s">
        <v>368</v>
      </c>
      <c r="G101" s="11" t="s">
        <v>367</v>
      </c>
      <c r="H101" s="4" t="s">
        <v>0</v>
      </c>
      <c r="I101" s="5">
        <v>4758</v>
      </c>
      <c r="J101" s="6" t="s">
        <v>18</v>
      </c>
      <c r="K101" s="2">
        <v>8000</v>
      </c>
      <c r="L101" s="2">
        <f t="shared" ref="L101:L127" si="168">+K101*0.975</f>
        <v>7800</v>
      </c>
      <c r="M101" s="12">
        <f t="shared" ref="M101:M127" si="169">+L101-K101</f>
        <v>-200</v>
      </c>
      <c r="N101" s="21">
        <f t="shared" ref="N101:N127" si="170">+L101/K101</f>
        <v>0.97499999999999998</v>
      </c>
      <c r="O101" s="8">
        <f>+E101+P101+1+4</f>
        <v>46237.830729492147</v>
      </c>
      <c r="P101" s="25">
        <f t="shared" ref="P101:P127" si="171">+L101/Q101</f>
        <v>20.830729492146816</v>
      </c>
      <c r="Q101" s="51">
        <f t="shared" si="139"/>
        <v>374.4468</v>
      </c>
    </row>
    <row r="102" spans="1:17">
      <c r="A102" s="78">
        <v>99</v>
      </c>
      <c r="B102" s="79" t="s">
        <v>174</v>
      </c>
      <c r="C102" s="67" t="s">
        <v>186</v>
      </c>
      <c r="D102" s="31" t="s">
        <v>178</v>
      </c>
      <c r="E102" s="7">
        <v>46219</v>
      </c>
      <c r="F102" s="86" t="s">
        <v>285</v>
      </c>
      <c r="G102" s="86" t="s">
        <v>283</v>
      </c>
      <c r="H102" s="86" t="s">
        <v>301</v>
      </c>
      <c r="I102" s="5">
        <v>4758</v>
      </c>
      <c r="J102" s="6" t="s">
        <v>131</v>
      </c>
      <c r="K102" s="2">
        <v>8000</v>
      </c>
      <c r="L102" s="2">
        <f t="shared" si="168"/>
        <v>7800</v>
      </c>
      <c r="M102" s="12">
        <f t="shared" si="169"/>
        <v>-200</v>
      </c>
      <c r="N102" s="21">
        <f t="shared" si="170"/>
        <v>0.97499999999999998</v>
      </c>
      <c r="O102" s="8">
        <f>+E102+P102+1+4</f>
        <v>46244.830729492147</v>
      </c>
      <c r="P102" s="25">
        <f t="shared" si="171"/>
        <v>20.830729492146816</v>
      </c>
      <c r="Q102" s="51">
        <f t="shared" ref="Q102:Q103" si="172">630*40/60*0.975*0.9144</f>
        <v>374.4468</v>
      </c>
    </row>
    <row r="103" spans="1:17" ht="14.25" customHeight="1">
      <c r="A103" s="78">
        <v>100</v>
      </c>
      <c r="B103" s="77" t="s">
        <v>174</v>
      </c>
      <c r="C103" s="33" t="s">
        <v>284</v>
      </c>
      <c r="D103" s="31" t="s">
        <v>178</v>
      </c>
      <c r="E103" s="7">
        <v>46214</v>
      </c>
      <c r="F103" s="11" t="s">
        <v>368</v>
      </c>
      <c r="G103" s="11" t="s">
        <v>367</v>
      </c>
      <c r="H103" s="4" t="s">
        <v>0</v>
      </c>
      <c r="I103" s="5">
        <v>4758</v>
      </c>
      <c r="J103" s="6" t="s">
        <v>115</v>
      </c>
      <c r="K103" s="2">
        <v>8000</v>
      </c>
      <c r="L103" s="2">
        <f t="shared" si="168"/>
        <v>7800</v>
      </c>
      <c r="M103" s="12">
        <f t="shared" si="169"/>
        <v>-200</v>
      </c>
      <c r="N103" s="21">
        <f t="shared" si="170"/>
        <v>0.97499999999999998</v>
      </c>
      <c r="O103" s="8">
        <f>+E103+P103+1+4</f>
        <v>46239.830729492147</v>
      </c>
      <c r="P103" s="25">
        <f t="shared" si="171"/>
        <v>20.830729492146816</v>
      </c>
      <c r="Q103" s="51">
        <f t="shared" si="172"/>
        <v>374.4468</v>
      </c>
    </row>
    <row r="104" spans="1:17">
      <c r="A104" s="78">
        <v>101</v>
      </c>
      <c r="B104" s="79" t="s">
        <v>174</v>
      </c>
      <c r="C104" s="67" t="s">
        <v>186</v>
      </c>
      <c r="D104" s="31" t="s">
        <v>178</v>
      </c>
      <c r="E104" s="7">
        <v>46188</v>
      </c>
      <c r="F104" s="86" t="s">
        <v>285</v>
      </c>
      <c r="G104" s="86" t="s">
        <v>283</v>
      </c>
      <c r="H104" s="86" t="s">
        <v>301</v>
      </c>
      <c r="I104" s="5">
        <v>4758</v>
      </c>
      <c r="J104" s="6" t="s">
        <v>124</v>
      </c>
      <c r="K104" s="2">
        <v>8000</v>
      </c>
      <c r="L104" s="2">
        <f t="shared" ref="L104:L106" si="173">+K104*0.975</f>
        <v>7800</v>
      </c>
      <c r="M104" s="12">
        <f t="shared" ref="M104:M106" si="174">+L104-K104</f>
        <v>-200</v>
      </c>
      <c r="N104" s="21">
        <f t="shared" ref="N104:N106" si="175">+L104/K104</f>
        <v>0.97499999999999998</v>
      </c>
      <c r="O104" s="8">
        <f>+E104+P104+1+3+9</f>
        <v>46221.830729492147</v>
      </c>
      <c r="P104" s="25">
        <f t="shared" ref="P104:P106" si="176">+L104/Q104</f>
        <v>20.830729492146816</v>
      </c>
      <c r="Q104" s="51">
        <f t="shared" si="139"/>
        <v>374.4468</v>
      </c>
    </row>
    <row r="105" spans="1:17">
      <c r="A105" s="78">
        <v>102</v>
      </c>
      <c r="B105" s="77" t="s">
        <v>174</v>
      </c>
      <c r="C105" s="33" t="s">
        <v>284</v>
      </c>
      <c r="D105" s="31" t="s">
        <v>178</v>
      </c>
      <c r="E105" s="7">
        <v>46203</v>
      </c>
      <c r="F105" s="11" t="s">
        <v>282</v>
      </c>
      <c r="G105" s="11" t="s">
        <v>281</v>
      </c>
      <c r="H105" s="4" t="s">
        <v>0</v>
      </c>
      <c r="I105" s="5">
        <v>4758</v>
      </c>
      <c r="J105" s="6" t="s">
        <v>361</v>
      </c>
      <c r="K105" s="2">
        <v>8000</v>
      </c>
      <c r="L105" s="2">
        <f t="shared" si="173"/>
        <v>7800</v>
      </c>
      <c r="M105" s="12">
        <f t="shared" si="174"/>
        <v>-200</v>
      </c>
      <c r="N105" s="21">
        <f t="shared" si="175"/>
        <v>0.97499999999999998</v>
      </c>
      <c r="O105" s="56">
        <f>E105+P105+1+3</f>
        <v>46227.830729492147</v>
      </c>
      <c r="P105" s="25">
        <f t="shared" si="176"/>
        <v>20.830729492146816</v>
      </c>
      <c r="Q105" s="51">
        <f>630*40/60*0.975*0.9144</f>
        <v>374.4468</v>
      </c>
    </row>
    <row r="106" spans="1:17">
      <c r="A106" s="78">
        <v>103</v>
      </c>
      <c r="B106" s="77" t="s">
        <v>174</v>
      </c>
      <c r="C106" s="33" t="s">
        <v>284</v>
      </c>
      <c r="D106" s="31" t="s">
        <v>178</v>
      </c>
      <c r="E106" s="7">
        <v>46211</v>
      </c>
      <c r="F106" s="11" t="s">
        <v>368</v>
      </c>
      <c r="G106" s="11" t="s">
        <v>367</v>
      </c>
      <c r="H106" s="4" t="s">
        <v>0</v>
      </c>
      <c r="I106" s="5">
        <v>4758</v>
      </c>
      <c r="J106" s="6" t="s">
        <v>26</v>
      </c>
      <c r="K106" s="2">
        <v>8000</v>
      </c>
      <c r="L106" s="2">
        <f t="shared" si="173"/>
        <v>7800</v>
      </c>
      <c r="M106" s="12">
        <f t="shared" si="174"/>
        <v>-200</v>
      </c>
      <c r="N106" s="21">
        <f t="shared" si="175"/>
        <v>0.97499999999999998</v>
      </c>
      <c r="O106" s="56">
        <f>E106+P106+1+3</f>
        <v>46235.830729492147</v>
      </c>
      <c r="P106" s="25">
        <f t="shared" si="176"/>
        <v>20.830729492146816</v>
      </c>
      <c r="Q106" s="51">
        <f t="shared" ref="Q106" si="177">630*40/60*0.975*0.9144</f>
        <v>374.4468</v>
      </c>
    </row>
    <row r="107" spans="1:17">
      <c r="A107" s="78">
        <v>104</v>
      </c>
      <c r="B107" s="77" t="s">
        <v>174</v>
      </c>
      <c r="C107" s="33" t="s">
        <v>284</v>
      </c>
      <c r="D107" s="31" t="s">
        <v>178</v>
      </c>
      <c r="E107" s="7">
        <v>46207</v>
      </c>
      <c r="F107" s="11" t="s">
        <v>368</v>
      </c>
      <c r="G107" s="11" t="s">
        <v>367</v>
      </c>
      <c r="H107" s="4" t="s">
        <v>0</v>
      </c>
      <c r="I107" s="5">
        <v>4758</v>
      </c>
      <c r="J107" s="6" t="s">
        <v>94</v>
      </c>
      <c r="K107" s="2">
        <v>8000</v>
      </c>
      <c r="L107" s="2">
        <f t="shared" si="168"/>
        <v>7800</v>
      </c>
      <c r="M107" s="12">
        <f t="shared" si="169"/>
        <v>-200</v>
      </c>
      <c r="N107" s="21">
        <f t="shared" si="170"/>
        <v>0.97499999999999998</v>
      </c>
      <c r="O107" s="56">
        <f>E107+P107+1+4</f>
        <v>46232.830729492147</v>
      </c>
      <c r="P107" s="25">
        <f t="shared" si="171"/>
        <v>20.830729492146816</v>
      </c>
      <c r="Q107" s="51">
        <f>630*40/60*0.975*0.9144</f>
        <v>374.4468</v>
      </c>
    </row>
    <row r="108" spans="1:17">
      <c r="A108" s="78">
        <v>105</v>
      </c>
      <c r="B108" s="77" t="s">
        <v>174</v>
      </c>
      <c r="C108" s="33" t="s">
        <v>284</v>
      </c>
      <c r="D108" s="31" t="s">
        <v>178</v>
      </c>
      <c r="E108" s="7">
        <v>46210</v>
      </c>
      <c r="F108" s="11" t="s">
        <v>368</v>
      </c>
      <c r="G108" s="11" t="s">
        <v>367</v>
      </c>
      <c r="H108" s="4" t="s">
        <v>0</v>
      </c>
      <c r="I108" s="5">
        <v>4758</v>
      </c>
      <c r="J108" s="6" t="s">
        <v>35</v>
      </c>
      <c r="K108" s="2">
        <v>8000</v>
      </c>
      <c r="L108" s="2">
        <f t="shared" si="168"/>
        <v>7800</v>
      </c>
      <c r="M108" s="12">
        <f t="shared" si="169"/>
        <v>-200</v>
      </c>
      <c r="N108" s="21">
        <f t="shared" si="170"/>
        <v>0.97499999999999998</v>
      </c>
      <c r="O108" s="8">
        <f>+E108+P108+1+3</f>
        <v>46234.830729492147</v>
      </c>
      <c r="P108" s="25">
        <f t="shared" si="171"/>
        <v>20.830729492146816</v>
      </c>
      <c r="Q108" s="51">
        <f t="shared" ref="Q108" si="178">630*40/60*0.975*0.9144</f>
        <v>374.4468</v>
      </c>
    </row>
    <row r="109" spans="1:17">
      <c r="A109" s="78">
        <v>106</v>
      </c>
      <c r="B109" s="77" t="s">
        <v>174</v>
      </c>
      <c r="C109" s="33" t="s">
        <v>284</v>
      </c>
      <c r="D109" s="31" t="s">
        <v>178</v>
      </c>
      <c r="E109" s="7">
        <v>46200</v>
      </c>
      <c r="F109" s="11" t="s">
        <v>282</v>
      </c>
      <c r="G109" s="11" t="s">
        <v>281</v>
      </c>
      <c r="H109" s="4" t="s">
        <v>0</v>
      </c>
      <c r="I109" s="5">
        <v>4758</v>
      </c>
      <c r="J109" s="6" t="s">
        <v>119</v>
      </c>
      <c r="K109" s="2">
        <v>8000</v>
      </c>
      <c r="L109" s="2">
        <f t="shared" si="168"/>
        <v>7800</v>
      </c>
      <c r="M109" s="12">
        <f t="shared" si="169"/>
        <v>-200</v>
      </c>
      <c r="N109" s="21">
        <f t="shared" si="170"/>
        <v>0.97499999999999998</v>
      </c>
      <c r="O109" s="56">
        <f>E109+P109+1+4</f>
        <v>46225.830729492147</v>
      </c>
      <c r="P109" s="25">
        <f t="shared" si="171"/>
        <v>20.830729492146816</v>
      </c>
      <c r="Q109" s="51">
        <f t="shared" ref="Q109:Q134" si="179">630*40/60*0.975*0.9144</f>
        <v>374.4468</v>
      </c>
    </row>
    <row r="110" spans="1:17">
      <c r="A110" s="88">
        <v>107</v>
      </c>
      <c r="B110" s="77" t="s">
        <v>174</v>
      </c>
      <c r="C110" s="33" t="s">
        <v>284</v>
      </c>
      <c r="D110" s="31" t="s">
        <v>178</v>
      </c>
      <c r="E110" s="7">
        <v>46213</v>
      </c>
      <c r="F110" s="11" t="s">
        <v>368</v>
      </c>
      <c r="G110" s="11" t="s">
        <v>367</v>
      </c>
      <c r="H110" s="4" t="s">
        <v>0</v>
      </c>
      <c r="I110" s="5">
        <v>4758</v>
      </c>
      <c r="J110" s="6" t="s">
        <v>166</v>
      </c>
      <c r="K110" s="2">
        <v>8000</v>
      </c>
      <c r="L110" s="2">
        <f t="shared" si="168"/>
        <v>7800</v>
      </c>
      <c r="M110" s="12">
        <f t="shared" si="169"/>
        <v>-200</v>
      </c>
      <c r="N110" s="21">
        <f t="shared" si="170"/>
        <v>0.97499999999999998</v>
      </c>
      <c r="O110" s="8">
        <f>+E110+P110+1+4</f>
        <v>46238.830729492147</v>
      </c>
      <c r="P110" s="25">
        <f t="shared" si="171"/>
        <v>20.830729492146816</v>
      </c>
      <c r="Q110" s="51">
        <f t="shared" si="179"/>
        <v>374.4468</v>
      </c>
    </row>
    <row r="111" spans="1:17">
      <c r="A111" s="78">
        <v>108</v>
      </c>
      <c r="B111" s="32" t="s">
        <v>174</v>
      </c>
      <c r="C111" s="32" t="s">
        <v>67</v>
      </c>
      <c r="D111" s="32" t="s">
        <v>178</v>
      </c>
      <c r="E111" s="7">
        <v>46204</v>
      </c>
      <c r="F111" s="4" t="s">
        <v>282</v>
      </c>
      <c r="G111" s="4" t="s">
        <v>281</v>
      </c>
      <c r="H111" s="3" t="s">
        <v>0</v>
      </c>
      <c r="I111" s="5">
        <v>4758</v>
      </c>
      <c r="J111" s="6" t="s">
        <v>302</v>
      </c>
      <c r="K111" s="2">
        <v>8000</v>
      </c>
      <c r="L111" s="2">
        <f t="shared" si="168"/>
        <v>7800</v>
      </c>
      <c r="M111" s="2">
        <f t="shared" si="169"/>
        <v>-200</v>
      </c>
      <c r="N111" s="21">
        <f t="shared" si="170"/>
        <v>0.97499999999999998</v>
      </c>
      <c r="O111" s="56">
        <f>E111+P111+1+3</f>
        <v>46228.830729492147</v>
      </c>
      <c r="P111" s="24">
        <f t="shared" si="171"/>
        <v>20.830729492146816</v>
      </c>
      <c r="Q111" s="51">
        <f t="shared" si="179"/>
        <v>374.4468</v>
      </c>
    </row>
    <row r="112" spans="1:17">
      <c r="A112" s="88">
        <v>109</v>
      </c>
      <c r="B112" s="77" t="s">
        <v>174</v>
      </c>
      <c r="C112" s="33" t="s">
        <v>284</v>
      </c>
      <c r="D112" s="31" t="s">
        <v>178</v>
      </c>
      <c r="E112" s="7">
        <v>46209</v>
      </c>
      <c r="F112" s="11" t="s">
        <v>368</v>
      </c>
      <c r="G112" s="11" t="s">
        <v>367</v>
      </c>
      <c r="H112" s="4" t="s">
        <v>0</v>
      </c>
      <c r="I112" s="5">
        <v>4758</v>
      </c>
      <c r="J112" s="6" t="s">
        <v>49</v>
      </c>
      <c r="K112" s="2">
        <v>8000</v>
      </c>
      <c r="L112" s="2">
        <f t="shared" si="168"/>
        <v>7800</v>
      </c>
      <c r="M112" s="12">
        <f t="shared" si="169"/>
        <v>-200</v>
      </c>
      <c r="N112" s="21">
        <f t="shared" si="170"/>
        <v>0.97499999999999998</v>
      </c>
      <c r="O112" s="8">
        <f>+E112+P112+1+3</f>
        <v>46233.830729492147</v>
      </c>
      <c r="P112" s="25">
        <f t="shared" si="171"/>
        <v>20.830729492146816</v>
      </c>
      <c r="Q112" s="51">
        <f t="shared" si="179"/>
        <v>374.4468</v>
      </c>
    </row>
    <row r="113" spans="1:20">
      <c r="A113" s="78">
        <v>110</v>
      </c>
      <c r="B113" s="77" t="s">
        <v>174</v>
      </c>
      <c r="C113" s="33" t="s">
        <v>284</v>
      </c>
      <c r="D113" s="31" t="s">
        <v>178</v>
      </c>
      <c r="E113" s="7">
        <v>46207</v>
      </c>
      <c r="F113" s="11" t="s">
        <v>368</v>
      </c>
      <c r="G113" s="11" t="s">
        <v>367</v>
      </c>
      <c r="H113" s="4" t="s">
        <v>0</v>
      </c>
      <c r="I113" s="5">
        <v>4758</v>
      </c>
      <c r="J113" s="6" t="s">
        <v>44</v>
      </c>
      <c r="K113" s="2">
        <v>8000</v>
      </c>
      <c r="L113" s="2">
        <f t="shared" si="168"/>
        <v>7800</v>
      </c>
      <c r="M113" s="12">
        <f t="shared" si="169"/>
        <v>-200</v>
      </c>
      <c r="N113" s="21">
        <f t="shared" si="170"/>
        <v>0.97499999999999998</v>
      </c>
      <c r="O113" s="56">
        <f>E113+P113+1+4</f>
        <v>46232.830729492147</v>
      </c>
      <c r="P113" s="25">
        <f t="shared" si="171"/>
        <v>20.830729492146816</v>
      </c>
      <c r="Q113" s="51">
        <f t="shared" si="179"/>
        <v>374.4468</v>
      </c>
    </row>
    <row r="114" spans="1:20">
      <c r="A114" s="78">
        <v>111</v>
      </c>
      <c r="B114" s="77" t="s">
        <v>174</v>
      </c>
      <c r="C114" s="33" t="s">
        <v>284</v>
      </c>
      <c r="D114" s="31" t="s">
        <v>178</v>
      </c>
      <c r="E114" s="7">
        <v>46199</v>
      </c>
      <c r="F114" s="11" t="s">
        <v>282</v>
      </c>
      <c r="G114" s="11" t="s">
        <v>281</v>
      </c>
      <c r="H114" s="4" t="s">
        <v>0</v>
      </c>
      <c r="I114" s="5">
        <v>4758</v>
      </c>
      <c r="J114" s="6" t="s">
        <v>348</v>
      </c>
      <c r="K114" s="2">
        <v>8000</v>
      </c>
      <c r="L114" s="2">
        <f t="shared" ref="L114:L115" si="180">+K114*0.975</f>
        <v>7800</v>
      </c>
      <c r="M114" s="12">
        <f t="shared" ref="M114:M115" si="181">+L114-K114</f>
        <v>-200</v>
      </c>
      <c r="N114" s="21">
        <f t="shared" ref="N114:N115" si="182">+L114/K114</f>
        <v>0.97499999999999998</v>
      </c>
      <c r="O114" s="56">
        <f>E114+P114+1+4</f>
        <v>46224.830729492147</v>
      </c>
      <c r="P114" s="25">
        <f t="shared" ref="P114:P115" si="183">+L114/Q114</f>
        <v>20.830729492146816</v>
      </c>
      <c r="Q114" s="51">
        <f>630*40/60*0.975*0.9144</f>
        <v>374.4468</v>
      </c>
    </row>
    <row r="115" spans="1:20">
      <c r="A115" s="78">
        <v>112</v>
      </c>
      <c r="B115" s="77" t="s">
        <v>174</v>
      </c>
      <c r="C115" s="33" t="s">
        <v>284</v>
      </c>
      <c r="D115" s="31" t="s">
        <v>178</v>
      </c>
      <c r="E115" s="7">
        <v>46217</v>
      </c>
      <c r="F115" s="11" t="s">
        <v>368</v>
      </c>
      <c r="G115" s="11" t="s">
        <v>367</v>
      </c>
      <c r="H115" s="4" t="s">
        <v>0</v>
      </c>
      <c r="I115" s="5">
        <v>4758</v>
      </c>
      <c r="J115" s="6" t="s">
        <v>204</v>
      </c>
      <c r="K115" s="2">
        <v>8000</v>
      </c>
      <c r="L115" s="2">
        <f t="shared" si="180"/>
        <v>7800</v>
      </c>
      <c r="M115" s="12">
        <f t="shared" si="181"/>
        <v>-200</v>
      </c>
      <c r="N115" s="21">
        <f t="shared" si="182"/>
        <v>0.97499999999999998</v>
      </c>
      <c r="O115" s="8">
        <f>+E115+P115+1+3</f>
        <v>46241.830729492147</v>
      </c>
      <c r="P115" s="25">
        <f t="shared" si="183"/>
        <v>20.830729492146816</v>
      </c>
      <c r="Q115" s="51">
        <f t="shared" ref="Q115" si="184">630*40/60*0.975*0.9144</f>
        <v>374.4468</v>
      </c>
    </row>
    <row r="116" spans="1:20">
      <c r="A116" s="78">
        <v>113</v>
      </c>
      <c r="B116" s="79" t="s">
        <v>174</v>
      </c>
      <c r="C116" s="67" t="s">
        <v>186</v>
      </c>
      <c r="D116" s="31" t="s">
        <v>178</v>
      </c>
      <c r="E116" s="7">
        <v>46209</v>
      </c>
      <c r="F116" s="86" t="s">
        <v>285</v>
      </c>
      <c r="G116" s="86" t="s">
        <v>283</v>
      </c>
      <c r="H116" s="86" t="s">
        <v>301</v>
      </c>
      <c r="I116" s="5">
        <v>4758</v>
      </c>
      <c r="J116" s="6" t="s">
        <v>126</v>
      </c>
      <c r="K116" s="2">
        <v>8000</v>
      </c>
      <c r="L116" s="2">
        <f>+K116*0.975</f>
        <v>7800</v>
      </c>
      <c r="M116" s="12">
        <f>+L116-K116</f>
        <v>-200</v>
      </c>
      <c r="N116" s="21">
        <f>+L116/K116</f>
        <v>0.97499999999999998</v>
      </c>
      <c r="O116" s="8">
        <f>+E116+P116+1+3</f>
        <v>46233.830729492147</v>
      </c>
      <c r="P116" s="25">
        <f>+L116/Q116</f>
        <v>20.830729492146816</v>
      </c>
      <c r="Q116" s="51">
        <f>630*40/60*0.975*0.9144</f>
        <v>374.4468</v>
      </c>
    </row>
    <row r="117" spans="1:20">
      <c r="A117" s="88">
        <v>114</v>
      </c>
      <c r="B117" s="77" t="s">
        <v>174</v>
      </c>
      <c r="C117" s="33" t="s">
        <v>284</v>
      </c>
      <c r="D117" s="31" t="s">
        <v>178</v>
      </c>
      <c r="E117" s="7">
        <v>46204</v>
      </c>
      <c r="F117" s="11" t="s">
        <v>282</v>
      </c>
      <c r="G117" s="11" t="s">
        <v>281</v>
      </c>
      <c r="H117" s="4" t="s">
        <v>0</v>
      </c>
      <c r="I117" s="5">
        <v>4758</v>
      </c>
      <c r="J117" s="6" t="s">
        <v>41</v>
      </c>
      <c r="K117" s="2">
        <v>8000</v>
      </c>
      <c r="L117" s="2">
        <f t="shared" ref="L117:L119" si="185">+K117*0.975</f>
        <v>7800</v>
      </c>
      <c r="M117" s="12">
        <f t="shared" si="169"/>
        <v>-200</v>
      </c>
      <c r="N117" s="21">
        <f t="shared" si="170"/>
        <v>0.97499999999999998</v>
      </c>
      <c r="O117" s="56">
        <f>E117+P117+1+3</f>
        <v>46228.830729492147</v>
      </c>
      <c r="P117" s="25">
        <f t="shared" ref="P117:P119" si="186">+L117/Q117</f>
        <v>20.830729492146816</v>
      </c>
      <c r="Q117" s="51">
        <f t="shared" ref="Q117" si="187">630*40/60*0.975*0.9144</f>
        <v>374.4468</v>
      </c>
    </row>
    <row r="118" spans="1:20">
      <c r="A118" s="78">
        <v>115</v>
      </c>
      <c r="B118" s="77" t="s">
        <v>174</v>
      </c>
      <c r="C118" s="33" t="s">
        <v>284</v>
      </c>
      <c r="D118" s="31" t="s">
        <v>178</v>
      </c>
      <c r="E118" s="7">
        <v>46198</v>
      </c>
      <c r="F118" s="11" t="s">
        <v>282</v>
      </c>
      <c r="G118" s="11" t="s">
        <v>281</v>
      </c>
      <c r="H118" s="4" t="s">
        <v>0</v>
      </c>
      <c r="I118" s="5">
        <v>4758</v>
      </c>
      <c r="J118" s="6" t="s">
        <v>79</v>
      </c>
      <c r="K118" s="2">
        <v>8000</v>
      </c>
      <c r="L118" s="2">
        <f t="shared" si="185"/>
        <v>7800</v>
      </c>
      <c r="M118" s="12">
        <f t="shared" si="169"/>
        <v>-200</v>
      </c>
      <c r="N118" s="21">
        <f t="shared" si="170"/>
        <v>0.97499999999999998</v>
      </c>
      <c r="O118" s="56">
        <f>E118+P118+1+4</f>
        <v>46223.830729492147</v>
      </c>
      <c r="P118" s="25">
        <f t="shared" si="186"/>
        <v>20.830729492146816</v>
      </c>
      <c r="Q118" s="51">
        <f>630*40/60*0.975*0.9144</f>
        <v>374.4468</v>
      </c>
    </row>
    <row r="119" spans="1:20">
      <c r="A119" s="78">
        <v>116</v>
      </c>
      <c r="B119" s="77" t="s">
        <v>174</v>
      </c>
      <c r="C119" s="33" t="s">
        <v>284</v>
      </c>
      <c r="D119" s="31" t="s">
        <v>178</v>
      </c>
      <c r="E119" s="7">
        <v>46219</v>
      </c>
      <c r="F119" s="11" t="s">
        <v>368</v>
      </c>
      <c r="G119" s="11" t="s">
        <v>367</v>
      </c>
      <c r="H119" s="4" t="s">
        <v>0</v>
      </c>
      <c r="I119" s="5">
        <v>4758</v>
      </c>
      <c r="J119" s="6" t="s">
        <v>147</v>
      </c>
      <c r="K119" s="2">
        <v>8000</v>
      </c>
      <c r="L119" s="2">
        <f t="shared" si="185"/>
        <v>7800</v>
      </c>
      <c r="M119" s="12">
        <f t="shared" si="169"/>
        <v>-200</v>
      </c>
      <c r="N119" s="21">
        <f t="shared" si="170"/>
        <v>0.97499999999999998</v>
      </c>
      <c r="O119" s="8">
        <f>+E119+P119+1+4</f>
        <v>46244.830729492147</v>
      </c>
      <c r="P119" s="25">
        <f t="shared" si="186"/>
        <v>20.830729492146816</v>
      </c>
      <c r="Q119" s="51">
        <f t="shared" ref="Q119" si="188">630*40/60*0.975*0.9144</f>
        <v>374.4468</v>
      </c>
    </row>
    <row r="120" spans="1:20">
      <c r="A120" s="78">
        <v>117</v>
      </c>
      <c r="B120" s="77" t="s">
        <v>174</v>
      </c>
      <c r="C120" s="33" t="s">
        <v>284</v>
      </c>
      <c r="D120" s="31" t="s">
        <v>178</v>
      </c>
      <c r="E120" s="7">
        <v>46204</v>
      </c>
      <c r="F120" s="11" t="s">
        <v>282</v>
      </c>
      <c r="G120" s="11" t="s">
        <v>281</v>
      </c>
      <c r="H120" s="4" t="s">
        <v>0</v>
      </c>
      <c r="I120" s="5">
        <v>4758</v>
      </c>
      <c r="J120" s="6" t="s">
        <v>156</v>
      </c>
      <c r="K120" s="2">
        <v>8000</v>
      </c>
      <c r="L120" s="2">
        <f t="shared" si="168"/>
        <v>7800</v>
      </c>
      <c r="M120" s="12">
        <f t="shared" si="169"/>
        <v>-200</v>
      </c>
      <c r="N120" s="21">
        <f t="shared" si="170"/>
        <v>0.97499999999999998</v>
      </c>
      <c r="O120" s="56">
        <f t="shared" ref="O120" si="189">E120+P120+1+3</f>
        <v>46228.830729492147</v>
      </c>
      <c r="P120" s="25">
        <f t="shared" si="171"/>
        <v>20.830729492146816</v>
      </c>
      <c r="Q120" s="51">
        <f t="shared" si="179"/>
        <v>374.4468</v>
      </c>
    </row>
    <row r="121" spans="1:20">
      <c r="A121" s="78">
        <v>118</v>
      </c>
      <c r="B121" s="77" t="s">
        <v>174</v>
      </c>
      <c r="C121" s="33" t="s">
        <v>284</v>
      </c>
      <c r="D121" s="31" t="s">
        <v>178</v>
      </c>
      <c r="E121" s="7">
        <v>46207</v>
      </c>
      <c r="F121" s="11" t="s">
        <v>368</v>
      </c>
      <c r="G121" s="11" t="s">
        <v>367</v>
      </c>
      <c r="H121" s="4" t="s">
        <v>0</v>
      </c>
      <c r="I121" s="5">
        <v>4758</v>
      </c>
      <c r="J121" s="6" t="s">
        <v>27</v>
      </c>
      <c r="K121" s="2">
        <v>8000</v>
      </c>
      <c r="L121" s="2">
        <f t="shared" si="168"/>
        <v>7800</v>
      </c>
      <c r="M121" s="12">
        <f t="shared" si="169"/>
        <v>-200</v>
      </c>
      <c r="N121" s="21">
        <f t="shared" si="170"/>
        <v>0.97499999999999998</v>
      </c>
      <c r="O121" s="56">
        <f>E121+P121+1+4</f>
        <v>46232.830729492147</v>
      </c>
      <c r="P121" s="25">
        <f t="shared" si="171"/>
        <v>20.830729492146816</v>
      </c>
      <c r="Q121" s="51">
        <f>630*40/60*0.975*0.9144</f>
        <v>374.4468</v>
      </c>
    </row>
    <row r="122" spans="1:20">
      <c r="A122" s="78">
        <v>119</v>
      </c>
      <c r="B122" s="77" t="s">
        <v>174</v>
      </c>
      <c r="C122" s="33" t="s">
        <v>284</v>
      </c>
      <c r="D122" s="31" t="s">
        <v>178</v>
      </c>
      <c r="E122" s="7">
        <v>46220</v>
      </c>
      <c r="F122" s="11" t="s">
        <v>368</v>
      </c>
      <c r="G122" s="11" t="s">
        <v>367</v>
      </c>
      <c r="H122" s="4" t="s">
        <v>0</v>
      </c>
      <c r="I122" s="5">
        <v>4758</v>
      </c>
      <c r="J122" s="6" t="s">
        <v>182</v>
      </c>
      <c r="K122" s="2">
        <v>8000</v>
      </c>
      <c r="L122" s="2">
        <f t="shared" si="168"/>
        <v>7800</v>
      </c>
      <c r="M122" s="12">
        <f t="shared" si="169"/>
        <v>-200</v>
      </c>
      <c r="N122" s="21">
        <f t="shared" si="170"/>
        <v>0.97499999999999998</v>
      </c>
      <c r="O122" s="8">
        <f>+E122+P122+1+4</f>
        <v>46245.830729492147</v>
      </c>
      <c r="P122" s="25">
        <f t="shared" si="171"/>
        <v>20.830729492146816</v>
      </c>
      <c r="Q122" s="51">
        <f t="shared" ref="Q122" si="190">630*40/60*0.975*0.9144</f>
        <v>374.4468</v>
      </c>
    </row>
    <row r="123" spans="1:20">
      <c r="A123" s="78">
        <v>120</v>
      </c>
      <c r="B123" s="79" t="s">
        <v>174</v>
      </c>
      <c r="C123" s="67" t="s">
        <v>186</v>
      </c>
      <c r="D123" s="31" t="s">
        <v>178</v>
      </c>
      <c r="E123" s="7">
        <v>46190</v>
      </c>
      <c r="F123" s="86" t="s">
        <v>285</v>
      </c>
      <c r="G123" s="86" t="s">
        <v>283</v>
      </c>
      <c r="H123" s="86" t="s">
        <v>301</v>
      </c>
      <c r="I123" s="5">
        <v>4758</v>
      </c>
      <c r="J123" s="6" t="s">
        <v>42</v>
      </c>
      <c r="K123" s="2">
        <v>8000</v>
      </c>
      <c r="L123" s="2">
        <f>+K123*0.975</f>
        <v>7800</v>
      </c>
      <c r="M123" s="12">
        <f>+L123-K123</f>
        <v>-200</v>
      </c>
      <c r="N123" s="21">
        <f>+L123/K123</f>
        <v>0.97499999999999998</v>
      </c>
      <c r="O123" s="56">
        <f>E123+P123+1+3+6</f>
        <v>46220.830729492147</v>
      </c>
      <c r="P123" s="25">
        <f t="shared" ref="P123:P124" si="191">+L123/Q123</f>
        <v>20.830729492146816</v>
      </c>
      <c r="Q123" s="51">
        <f>630*40/60*0.975*0.9144</f>
        <v>374.4468</v>
      </c>
    </row>
    <row r="124" spans="1:20" s="80" customFormat="1" ht="15.75" customHeight="1">
      <c r="A124" s="78">
        <v>121</v>
      </c>
      <c r="B124" s="77" t="s">
        <v>174</v>
      </c>
      <c r="C124" s="33" t="s">
        <v>284</v>
      </c>
      <c r="D124" s="31" t="s">
        <v>178</v>
      </c>
      <c r="E124" s="7">
        <v>46220</v>
      </c>
      <c r="F124" s="11" t="s">
        <v>368</v>
      </c>
      <c r="G124" s="11" t="s">
        <v>367</v>
      </c>
      <c r="H124" s="4" t="s">
        <v>0</v>
      </c>
      <c r="I124" s="5">
        <v>4758</v>
      </c>
      <c r="J124" s="6" t="s">
        <v>59</v>
      </c>
      <c r="K124" s="2">
        <v>8000</v>
      </c>
      <c r="L124" s="2">
        <f t="shared" ref="L124" si="192">+K124*0.975</f>
        <v>7800</v>
      </c>
      <c r="M124" s="12">
        <f t="shared" ref="M124" si="193">+L124-K124</f>
        <v>-200</v>
      </c>
      <c r="N124" s="21">
        <f t="shared" ref="N124" si="194">+L124/K124</f>
        <v>0.97499999999999998</v>
      </c>
      <c r="O124" s="8">
        <f>+E124+P124+1+4</f>
        <v>46245.830729492147</v>
      </c>
      <c r="P124" s="25">
        <f t="shared" si="191"/>
        <v>20.830729492146816</v>
      </c>
      <c r="Q124" s="51">
        <f t="shared" ref="Q124" si="195">630*40/60*0.975*0.9144</f>
        <v>374.4468</v>
      </c>
      <c r="T124"/>
    </row>
    <row r="125" spans="1:20">
      <c r="A125" s="78">
        <v>122</v>
      </c>
      <c r="B125" s="77" t="s">
        <v>174</v>
      </c>
      <c r="C125" s="33" t="s">
        <v>284</v>
      </c>
      <c r="D125" s="31" t="s">
        <v>178</v>
      </c>
      <c r="E125" s="7">
        <v>46210</v>
      </c>
      <c r="F125" s="11" t="s">
        <v>368</v>
      </c>
      <c r="G125" s="11" t="s">
        <v>367</v>
      </c>
      <c r="H125" s="4" t="s">
        <v>0</v>
      </c>
      <c r="I125" s="5">
        <v>4758</v>
      </c>
      <c r="J125" s="6" t="s">
        <v>35</v>
      </c>
      <c r="K125" s="2">
        <v>8000</v>
      </c>
      <c r="L125" s="2">
        <f t="shared" si="168"/>
        <v>7800</v>
      </c>
      <c r="M125" s="12">
        <f t="shared" si="169"/>
        <v>-200</v>
      </c>
      <c r="N125" s="21">
        <f t="shared" si="170"/>
        <v>0.97499999999999998</v>
      </c>
      <c r="O125" s="8">
        <f>+E125+P125+1+3</f>
        <v>46234.830729492147</v>
      </c>
      <c r="P125" s="25">
        <f t="shared" si="171"/>
        <v>20.830729492146816</v>
      </c>
      <c r="Q125" s="51">
        <f t="shared" si="179"/>
        <v>374.4468</v>
      </c>
      <c r="T125" s="80"/>
    </row>
    <row r="126" spans="1:20">
      <c r="A126" s="78">
        <v>123</v>
      </c>
      <c r="B126" s="77" t="s">
        <v>174</v>
      </c>
      <c r="C126" s="33" t="s">
        <v>284</v>
      </c>
      <c r="D126" s="31" t="s">
        <v>178</v>
      </c>
      <c r="E126" s="7">
        <v>46203</v>
      </c>
      <c r="F126" s="11" t="s">
        <v>282</v>
      </c>
      <c r="G126" s="11" t="s">
        <v>281</v>
      </c>
      <c r="H126" s="4" t="s">
        <v>0</v>
      </c>
      <c r="I126" s="5">
        <v>4758</v>
      </c>
      <c r="J126" s="6" t="s">
        <v>162</v>
      </c>
      <c r="K126" s="2">
        <v>8000</v>
      </c>
      <c r="L126" s="2">
        <f t="shared" si="168"/>
        <v>7800</v>
      </c>
      <c r="M126" s="12">
        <f t="shared" si="169"/>
        <v>-200</v>
      </c>
      <c r="N126" s="21">
        <f t="shared" si="170"/>
        <v>0.97499999999999998</v>
      </c>
      <c r="O126" s="56">
        <f>E126+P126+1+3</f>
        <v>46227.830729492147</v>
      </c>
      <c r="P126" s="25">
        <f t="shared" si="171"/>
        <v>20.830729492146816</v>
      </c>
      <c r="Q126" s="51">
        <f t="shared" si="179"/>
        <v>374.4468</v>
      </c>
    </row>
    <row r="127" spans="1:20">
      <c r="A127" s="78">
        <v>124</v>
      </c>
      <c r="B127" s="77" t="s">
        <v>174</v>
      </c>
      <c r="C127" s="33" t="s">
        <v>284</v>
      </c>
      <c r="D127" s="31" t="s">
        <v>178</v>
      </c>
      <c r="E127" s="7">
        <v>46214</v>
      </c>
      <c r="F127" s="11" t="s">
        <v>368</v>
      </c>
      <c r="G127" s="11" t="s">
        <v>367</v>
      </c>
      <c r="H127" s="4" t="s">
        <v>0</v>
      </c>
      <c r="I127" s="5">
        <v>4758</v>
      </c>
      <c r="J127" s="6" t="s">
        <v>66</v>
      </c>
      <c r="K127" s="2">
        <v>8000</v>
      </c>
      <c r="L127" s="2">
        <f t="shared" si="168"/>
        <v>7800</v>
      </c>
      <c r="M127" s="12">
        <f t="shared" si="169"/>
        <v>-200</v>
      </c>
      <c r="N127" s="21">
        <f t="shared" si="170"/>
        <v>0.97499999999999998</v>
      </c>
      <c r="O127" s="8">
        <f>+E127+P127+1+4</f>
        <v>46239.830729492147</v>
      </c>
      <c r="P127" s="25">
        <f t="shared" si="171"/>
        <v>20.830729492146816</v>
      </c>
      <c r="Q127" s="51">
        <f t="shared" si="179"/>
        <v>374.4468</v>
      </c>
    </row>
    <row r="128" spans="1:20">
      <c r="A128" s="78">
        <v>125</v>
      </c>
      <c r="B128" s="77" t="s">
        <v>174</v>
      </c>
      <c r="C128" s="33" t="s">
        <v>284</v>
      </c>
      <c r="D128" s="31" t="s">
        <v>178</v>
      </c>
      <c r="E128" s="7">
        <v>46210</v>
      </c>
      <c r="F128" s="11" t="s">
        <v>368</v>
      </c>
      <c r="G128" s="11" t="s">
        <v>367</v>
      </c>
      <c r="H128" s="4" t="s">
        <v>0</v>
      </c>
      <c r="I128" s="5">
        <v>4758</v>
      </c>
      <c r="J128" s="6" t="s">
        <v>35</v>
      </c>
      <c r="K128" s="2">
        <v>8000</v>
      </c>
      <c r="L128" s="2">
        <f t="shared" ref="L128" si="196">+K128*0.975</f>
        <v>7800</v>
      </c>
      <c r="M128" s="12">
        <f t="shared" ref="M128" si="197">+L128-K128</f>
        <v>-200</v>
      </c>
      <c r="N128" s="21">
        <f t="shared" ref="N128" si="198">+L128/K128</f>
        <v>0.97499999999999998</v>
      </c>
      <c r="O128" s="8">
        <f>+E128+P128+1+3</f>
        <v>46234.830729492147</v>
      </c>
      <c r="P128" s="25">
        <f t="shared" ref="P128" si="199">+L128/Q128</f>
        <v>20.830729492146816</v>
      </c>
      <c r="Q128" s="51">
        <f t="shared" ref="Q128" si="200">630*40/60*0.975*0.9144</f>
        <v>374.4468</v>
      </c>
    </row>
    <row r="129" spans="1:17">
      <c r="A129" s="78">
        <v>126</v>
      </c>
      <c r="B129" s="77" t="s">
        <v>174</v>
      </c>
      <c r="C129" s="33" t="s">
        <v>75</v>
      </c>
      <c r="D129" s="31" t="s">
        <v>178</v>
      </c>
      <c r="E129" s="7">
        <v>46199</v>
      </c>
      <c r="F129" s="11" t="s">
        <v>282</v>
      </c>
      <c r="G129" s="11" t="s">
        <v>281</v>
      </c>
      <c r="H129" s="4" t="s">
        <v>0</v>
      </c>
      <c r="I129" s="5">
        <v>4758</v>
      </c>
      <c r="J129" s="6" t="s">
        <v>97</v>
      </c>
      <c r="K129" s="2">
        <v>8000</v>
      </c>
      <c r="L129" s="2">
        <f t="shared" ref="L129" si="201">+K129*0.975</f>
        <v>7800</v>
      </c>
      <c r="M129" s="12">
        <f t="shared" ref="M129" si="202">+L129-K129</f>
        <v>-200</v>
      </c>
      <c r="N129" s="21">
        <f t="shared" ref="N129" si="203">+L129/K129</f>
        <v>0.97499999999999998</v>
      </c>
      <c r="O129" s="56">
        <f>E129+P129+1+4</f>
        <v>46224.830729492147</v>
      </c>
      <c r="P129" s="25">
        <f t="shared" ref="P129" si="204">+L129/Q129</f>
        <v>20.830729492146816</v>
      </c>
      <c r="Q129" s="51">
        <f t="shared" si="179"/>
        <v>374.4468</v>
      </c>
    </row>
    <row r="130" spans="1:17">
      <c r="A130" s="78">
        <v>127</v>
      </c>
      <c r="B130" s="79" t="s">
        <v>174</v>
      </c>
      <c r="C130" s="67" t="s">
        <v>186</v>
      </c>
      <c r="D130" s="31" t="s">
        <v>178</v>
      </c>
      <c r="E130" s="7">
        <v>46191</v>
      </c>
      <c r="F130" s="86" t="s">
        <v>285</v>
      </c>
      <c r="G130" s="86" t="s">
        <v>283</v>
      </c>
      <c r="H130" s="86" t="s">
        <v>301</v>
      </c>
      <c r="I130" s="5">
        <v>4758</v>
      </c>
      <c r="J130" s="6" t="s">
        <v>39</v>
      </c>
      <c r="K130" s="2">
        <v>8000</v>
      </c>
      <c r="L130" s="2">
        <f>+K130*0.975</f>
        <v>7800</v>
      </c>
      <c r="M130" s="12">
        <f>+L130-K130</f>
        <v>-200</v>
      </c>
      <c r="N130" s="21">
        <f>+L130/K130</f>
        <v>0.97499999999999998</v>
      </c>
      <c r="O130" s="56">
        <f>E130+P130+1+4+6</f>
        <v>46222.830729492147</v>
      </c>
      <c r="P130" s="25">
        <f>+L130/Q130</f>
        <v>20.830729492146816</v>
      </c>
      <c r="Q130" s="51">
        <f>630*40/60*0.975*0.9144</f>
        <v>374.4468</v>
      </c>
    </row>
    <row r="131" spans="1:17">
      <c r="A131" s="78">
        <v>128</v>
      </c>
      <c r="B131" s="77" t="s">
        <v>174</v>
      </c>
      <c r="C131" s="33" t="s">
        <v>284</v>
      </c>
      <c r="D131" s="31" t="s">
        <v>178</v>
      </c>
      <c r="E131" s="7">
        <v>46220</v>
      </c>
      <c r="F131" s="11" t="s">
        <v>368</v>
      </c>
      <c r="G131" s="11" t="s">
        <v>367</v>
      </c>
      <c r="H131" s="4" t="s">
        <v>0</v>
      </c>
      <c r="I131" s="5">
        <v>4758</v>
      </c>
      <c r="J131" s="6" t="s">
        <v>340</v>
      </c>
      <c r="K131" s="2">
        <v>8000</v>
      </c>
      <c r="L131" s="2">
        <f t="shared" ref="L131" si="205">+K131*0.975</f>
        <v>7800</v>
      </c>
      <c r="M131" s="12">
        <f t="shared" ref="M131" si="206">+L131-K131</f>
        <v>-200</v>
      </c>
      <c r="N131" s="21">
        <f t="shared" ref="N131" si="207">+L131/K131</f>
        <v>0.97499999999999998</v>
      </c>
      <c r="O131" s="8">
        <f>+E131+P131+1+4</f>
        <v>46245.830729492147</v>
      </c>
      <c r="P131" s="25">
        <f t="shared" ref="P131" si="208">+L131/Q131</f>
        <v>20.830729492146816</v>
      </c>
      <c r="Q131" s="51">
        <f t="shared" ref="Q131" si="209">630*40/60*0.975*0.9144</f>
        <v>374.4468</v>
      </c>
    </row>
    <row r="132" spans="1:17">
      <c r="A132" s="78">
        <v>129</v>
      </c>
      <c r="B132" s="77" t="s">
        <v>174</v>
      </c>
      <c r="C132" s="33" t="s">
        <v>284</v>
      </c>
      <c r="D132" s="31" t="s">
        <v>178</v>
      </c>
      <c r="E132" s="7">
        <v>46213</v>
      </c>
      <c r="F132" s="11" t="s">
        <v>368</v>
      </c>
      <c r="G132" s="11" t="s">
        <v>367</v>
      </c>
      <c r="H132" s="4" t="s">
        <v>0</v>
      </c>
      <c r="I132" s="5">
        <v>4758</v>
      </c>
      <c r="J132" s="6" t="s">
        <v>228</v>
      </c>
      <c r="K132" s="2">
        <v>8000</v>
      </c>
      <c r="L132" s="2">
        <f t="shared" ref="L132:L133" si="210">+K132*0.975</f>
        <v>7800</v>
      </c>
      <c r="M132" s="12">
        <f t="shared" ref="M132:M133" si="211">+L132-K132</f>
        <v>-200</v>
      </c>
      <c r="N132" s="21">
        <f t="shared" ref="N132:N133" si="212">+L132/K132</f>
        <v>0.97499999999999998</v>
      </c>
      <c r="O132" s="8">
        <f>+E132+P132+1+4</f>
        <v>46238.830729492147</v>
      </c>
      <c r="P132" s="25">
        <f t="shared" ref="P132:P133" si="213">+L132/Q132</f>
        <v>20.830729492146816</v>
      </c>
      <c r="Q132" s="51">
        <f t="shared" ref="Q132:Q133" si="214">630*40/60*0.975*0.9144</f>
        <v>374.4468</v>
      </c>
    </row>
    <row r="133" spans="1:17">
      <c r="A133" s="78">
        <v>130</v>
      </c>
      <c r="B133" s="77" t="s">
        <v>174</v>
      </c>
      <c r="C133" s="33" t="s">
        <v>284</v>
      </c>
      <c r="D133" s="31" t="s">
        <v>178</v>
      </c>
      <c r="E133" s="7">
        <v>46216</v>
      </c>
      <c r="F133" s="11" t="s">
        <v>368</v>
      </c>
      <c r="G133" s="11" t="s">
        <v>367</v>
      </c>
      <c r="H133" s="4" t="s">
        <v>0</v>
      </c>
      <c r="I133" s="5">
        <v>4758</v>
      </c>
      <c r="J133" s="6" t="s">
        <v>333</v>
      </c>
      <c r="K133" s="2">
        <v>8000</v>
      </c>
      <c r="L133" s="2">
        <f t="shared" si="210"/>
        <v>7800</v>
      </c>
      <c r="M133" s="12">
        <f t="shared" si="211"/>
        <v>-200</v>
      </c>
      <c r="N133" s="21">
        <f t="shared" si="212"/>
        <v>0.97499999999999998</v>
      </c>
      <c r="O133" s="8">
        <f>+E133+P133+1+3</f>
        <v>46240.830729492147</v>
      </c>
      <c r="P133" s="25">
        <f t="shared" si="213"/>
        <v>20.830729492146816</v>
      </c>
      <c r="Q133" s="51">
        <f t="shared" si="214"/>
        <v>374.4468</v>
      </c>
    </row>
    <row r="134" spans="1:17">
      <c r="A134" s="78">
        <v>131</v>
      </c>
      <c r="B134" s="77" t="s">
        <v>174</v>
      </c>
      <c r="C134" s="33" t="s">
        <v>75</v>
      </c>
      <c r="D134" s="31" t="s">
        <v>178</v>
      </c>
      <c r="E134" s="7">
        <v>46199</v>
      </c>
      <c r="F134" s="11" t="s">
        <v>282</v>
      </c>
      <c r="G134" s="11" t="s">
        <v>281</v>
      </c>
      <c r="H134" s="4" t="s">
        <v>0</v>
      </c>
      <c r="I134" s="5">
        <v>4758</v>
      </c>
      <c r="J134" s="6" t="s">
        <v>152</v>
      </c>
      <c r="K134" s="2">
        <v>8000</v>
      </c>
      <c r="L134" s="2">
        <f t="shared" ref="L134:L135" si="215">+K134*0.975</f>
        <v>7800</v>
      </c>
      <c r="M134" s="12">
        <f t="shared" ref="M134:M135" si="216">+L134-K134</f>
        <v>-200</v>
      </c>
      <c r="N134" s="21">
        <f t="shared" ref="N134:N135" si="217">+L134/K134</f>
        <v>0.97499999999999998</v>
      </c>
      <c r="O134" s="56">
        <f>E134+P134+1+4</f>
        <v>46224.830729492147</v>
      </c>
      <c r="P134" s="25">
        <f t="shared" ref="P134:P135" si="218">+L134/Q134</f>
        <v>20.830729492146816</v>
      </c>
      <c r="Q134" s="51">
        <f t="shared" si="179"/>
        <v>374.4468</v>
      </c>
    </row>
    <row r="135" spans="1:17">
      <c r="A135" s="78">
        <v>132</v>
      </c>
      <c r="B135" s="32" t="s">
        <v>174</v>
      </c>
      <c r="C135" s="32" t="s">
        <v>67</v>
      </c>
      <c r="D135" s="32" t="s">
        <v>178</v>
      </c>
      <c r="E135" s="7">
        <v>46197</v>
      </c>
      <c r="F135" s="4" t="s">
        <v>282</v>
      </c>
      <c r="G135" s="4" t="s">
        <v>281</v>
      </c>
      <c r="H135" s="3" t="s">
        <v>0</v>
      </c>
      <c r="I135" s="5">
        <v>4758</v>
      </c>
      <c r="J135" s="6" t="s">
        <v>61</v>
      </c>
      <c r="K135" s="2">
        <v>8000</v>
      </c>
      <c r="L135" s="2">
        <f t="shared" si="215"/>
        <v>7800</v>
      </c>
      <c r="M135" s="2">
        <f t="shared" si="216"/>
        <v>-200</v>
      </c>
      <c r="N135" s="21">
        <f t="shared" si="217"/>
        <v>0.97499999999999998</v>
      </c>
      <c r="O135" s="56">
        <f>E135+P135+1+3</f>
        <v>46221.830729492147</v>
      </c>
      <c r="P135" s="24">
        <f t="shared" si="218"/>
        <v>20.830729492146816</v>
      </c>
      <c r="Q135" s="51">
        <f>630*40/60*0.975*0.9144</f>
        <v>374.4468</v>
      </c>
    </row>
    <row r="136" spans="1:17">
      <c r="A136" s="78">
        <v>133</v>
      </c>
      <c r="B136" s="32" t="s">
        <v>174</v>
      </c>
      <c r="C136" s="32" t="s">
        <v>67</v>
      </c>
      <c r="D136" s="32" t="s">
        <v>178</v>
      </c>
      <c r="E136" s="7">
        <v>46200</v>
      </c>
      <c r="F136" s="4" t="s">
        <v>282</v>
      </c>
      <c r="G136" s="4" t="s">
        <v>281</v>
      </c>
      <c r="H136" s="3" t="s">
        <v>0</v>
      </c>
      <c r="I136" s="5">
        <v>4758</v>
      </c>
      <c r="J136" s="6" t="s">
        <v>149</v>
      </c>
      <c r="K136" s="2">
        <v>8000</v>
      </c>
      <c r="L136" s="2">
        <f t="shared" ref="L136" si="219">+K136*0.975</f>
        <v>7800</v>
      </c>
      <c r="M136" s="2">
        <f t="shared" ref="M136" si="220">+L136-K136</f>
        <v>-200</v>
      </c>
      <c r="N136" s="21">
        <f t="shared" ref="N136" si="221">+L136/K136</f>
        <v>0.97499999999999998</v>
      </c>
      <c r="O136" s="56">
        <f>E136+P136+1+4</f>
        <v>46225.830729492147</v>
      </c>
      <c r="P136" s="24">
        <f t="shared" ref="P136" si="222">+L136/Q136</f>
        <v>20.830729492146816</v>
      </c>
      <c r="Q136" s="51">
        <f t="shared" ref="Q136" si="223">630*40/60*0.975*0.9144</f>
        <v>374.4468</v>
      </c>
    </row>
    <row r="137" spans="1:17">
      <c r="A137" s="78">
        <v>134</v>
      </c>
      <c r="B137" s="77" t="s">
        <v>174</v>
      </c>
      <c r="C137" s="33" t="s">
        <v>284</v>
      </c>
      <c r="D137" s="31" t="s">
        <v>178</v>
      </c>
      <c r="E137" s="7">
        <v>46203</v>
      </c>
      <c r="F137" s="11" t="s">
        <v>282</v>
      </c>
      <c r="G137" s="11" t="s">
        <v>281</v>
      </c>
      <c r="H137" s="4" t="s">
        <v>0</v>
      </c>
      <c r="I137" s="5">
        <v>4758</v>
      </c>
      <c r="J137" s="6" t="s">
        <v>274</v>
      </c>
      <c r="K137" s="2">
        <v>8000</v>
      </c>
      <c r="L137" s="2">
        <f t="shared" ref="L137:L164" si="224">+K137*0.975</f>
        <v>7800</v>
      </c>
      <c r="M137" s="12">
        <f t="shared" ref="M137:M164" si="225">+L137-K137</f>
        <v>-200</v>
      </c>
      <c r="N137" s="21">
        <f t="shared" ref="N137:N164" si="226">+L137/K137</f>
        <v>0.97499999999999998</v>
      </c>
      <c r="O137" s="56">
        <f>E137+P137+1+3</f>
        <v>46227.830729492147</v>
      </c>
      <c r="P137" s="25">
        <f t="shared" ref="P137:P164" si="227">+L137/Q137</f>
        <v>20.830729492146816</v>
      </c>
      <c r="Q137" s="51">
        <f>630*40/60*0.975*0.9144</f>
        <v>374.4468</v>
      </c>
    </row>
    <row r="138" spans="1:17">
      <c r="A138" s="78">
        <v>135</v>
      </c>
      <c r="B138" s="77" t="s">
        <v>174</v>
      </c>
      <c r="C138" s="33" t="s">
        <v>284</v>
      </c>
      <c r="D138" s="31" t="s">
        <v>178</v>
      </c>
      <c r="E138" s="7">
        <v>46217</v>
      </c>
      <c r="F138" s="11" t="s">
        <v>368</v>
      </c>
      <c r="G138" s="11" t="s">
        <v>367</v>
      </c>
      <c r="H138" s="4" t="s">
        <v>0</v>
      </c>
      <c r="I138" s="5">
        <v>4758</v>
      </c>
      <c r="J138" s="6" t="s">
        <v>103</v>
      </c>
      <c r="K138" s="2">
        <v>8000</v>
      </c>
      <c r="L138" s="2">
        <f t="shared" si="224"/>
        <v>7800</v>
      </c>
      <c r="M138" s="12">
        <f t="shared" si="225"/>
        <v>-200</v>
      </c>
      <c r="N138" s="21">
        <f t="shared" si="226"/>
        <v>0.97499999999999998</v>
      </c>
      <c r="O138" s="8">
        <f>+E138+P138+1+3</f>
        <v>46241.830729492147</v>
      </c>
      <c r="P138" s="25">
        <f t="shared" si="227"/>
        <v>20.830729492146816</v>
      </c>
      <c r="Q138" s="51">
        <f t="shared" ref="Q138" si="228">630*40/60*0.975*0.9144</f>
        <v>374.4468</v>
      </c>
    </row>
    <row r="139" spans="1:17">
      <c r="A139" s="88">
        <v>136</v>
      </c>
      <c r="B139" s="77" t="s">
        <v>174</v>
      </c>
      <c r="C139" s="33" t="s">
        <v>284</v>
      </c>
      <c r="D139" s="31" t="s">
        <v>178</v>
      </c>
      <c r="E139" s="7">
        <v>46200</v>
      </c>
      <c r="F139" s="11" t="s">
        <v>282</v>
      </c>
      <c r="G139" s="11" t="s">
        <v>281</v>
      </c>
      <c r="H139" s="4" t="s">
        <v>0</v>
      </c>
      <c r="I139" s="5">
        <v>4758</v>
      </c>
      <c r="J139" s="6" t="s">
        <v>356</v>
      </c>
      <c r="K139" s="2">
        <v>8000</v>
      </c>
      <c r="L139" s="2">
        <f t="shared" ref="L139:L140" si="229">+K139*0.975</f>
        <v>7800</v>
      </c>
      <c r="M139" s="12">
        <f t="shared" ref="M139:M140" si="230">+L139-K139</f>
        <v>-200</v>
      </c>
      <c r="N139" s="21">
        <f t="shared" ref="N139:N140" si="231">+L139/K139</f>
        <v>0.97499999999999998</v>
      </c>
      <c r="O139" s="56">
        <f>E139+P139+1+4</f>
        <v>46225.830729492147</v>
      </c>
      <c r="P139" s="25">
        <f t="shared" ref="P139:P140" si="232">+L139/Q139</f>
        <v>20.830729492146816</v>
      </c>
      <c r="Q139" s="51">
        <f t="shared" ref="Q139:Q140" si="233">630*40/60*0.975*0.9144</f>
        <v>374.4468</v>
      </c>
    </row>
    <row r="140" spans="1:17">
      <c r="A140" s="78">
        <v>137</v>
      </c>
      <c r="B140" s="77" t="s">
        <v>174</v>
      </c>
      <c r="C140" s="33" t="s">
        <v>284</v>
      </c>
      <c r="D140" s="31" t="s">
        <v>178</v>
      </c>
      <c r="E140" s="7">
        <v>46220</v>
      </c>
      <c r="F140" s="11" t="s">
        <v>368</v>
      </c>
      <c r="G140" s="11" t="s">
        <v>367</v>
      </c>
      <c r="H140" s="4" t="s">
        <v>0</v>
      </c>
      <c r="I140" s="5">
        <v>4758</v>
      </c>
      <c r="J140" s="6" t="s">
        <v>406</v>
      </c>
      <c r="K140" s="2">
        <v>8000</v>
      </c>
      <c r="L140" s="2">
        <f t="shared" si="229"/>
        <v>7800</v>
      </c>
      <c r="M140" s="12">
        <f t="shared" si="230"/>
        <v>-200</v>
      </c>
      <c r="N140" s="21">
        <f t="shared" si="231"/>
        <v>0.97499999999999998</v>
      </c>
      <c r="O140" s="8">
        <f>+E140+P140+1+4</f>
        <v>46245.830729492147</v>
      </c>
      <c r="P140" s="25">
        <f t="shared" si="232"/>
        <v>20.830729492146816</v>
      </c>
      <c r="Q140" s="51">
        <f t="shared" si="233"/>
        <v>374.4468</v>
      </c>
    </row>
    <row r="141" spans="1:17">
      <c r="A141" s="78">
        <v>138</v>
      </c>
      <c r="B141" s="77" t="s">
        <v>174</v>
      </c>
      <c r="C141" s="33" t="s">
        <v>284</v>
      </c>
      <c r="D141" s="31" t="s">
        <v>178</v>
      </c>
      <c r="E141" s="7">
        <v>46211</v>
      </c>
      <c r="F141" s="11" t="s">
        <v>368</v>
      </c>
      <c r="G141" s="11" t="s">
        <v>367</v>
      </c>
      <c r="H141" s="4" t="s">
        <v>0</v>
      </c>
      <c r="I141" s="5">
        <v>4758</v>
      </c>
      <c r="J141" s="6" t="s">
        <v>76</v>
      </c>
      <c r="K141" s="2">
        <v>8000</v>
      </c>
      <c r="L141" s="2">
        <f t="shared" si="224"/>
        <v>7800</v>
      </c>
      <c r="M141" s="12">
        <f t="shared" si="225"/>
        <v>-200</v>
      </c>
      <c r="N141" s="21">
        <f t="shared" si="226"/>
        <v>0.97499999999999998</v>
      </c>
      <c r="O141" s="56">
        <f>E141+P141+1+3</f>
        <v>46235.830729492147</v>
      </c>
      <c r="P141" s="25">
        <f t="shared" si="227"/>
        <v>20.830729492146816</v>
      </c>
      <c r="Q141" s="51">
        <f t="shared" ref="Q141:Q142" si="234">630*40/60*0.975*0.9144</f>
        <v>374.4468</v>
      </c>
    </row>
    <row r="142" spans="1:17">
      <c r="A142" s="78">
        <v>139</v>
      </c>
      <c r="B142" s="77" t="s">
        <v>174</v>
      </c>
      <c r="C142" s="33" t="s">
        <v>284</v>
      </c>
      <c r="D142" s="31" t="s">
        <v>178</v>
      </c>
      <c r="E142" s="7">
        <v>46212</v>
      </c>
      <c r="F142" s="11" t="s">
        <v>368</v>
      </c>
      <c r="G142" s="11" t="s">
        <v>367</v>
      </c>
      <c r="H142" s="4" t="s">
        <v>0</v>
      </c>
      <c r="I142" s="5">
        <v>4758</v>
      </c>
      <c r="J142" s="6" t="s">
        <v>98</v>
      </c>
      <c r="K142" s="2">
        <v>8000</v>
      </c>
      <c r="L142" s="2">
        <f t="shared" si="224"/>
        <v>7800</v>
      </c>
      <c r="M142" s="12">
        <f t="shared" si="225"/>
        <v>-200</v>
      </c>
      <c r="N142" s="21">
        <f t="shared" si="226"/>
        <v>0.97499999999999998</v>
      </c>
      <c r="O142" s="8">
        <f>+E142+P142+1+4</f>
        <v>46237.830729492147</v>
      </c>
      <c r="P142" s="25">
        <f t="shared" si="227"/>
        <v>20.830729492146816</v>
      </c>
      <c r="Q142" s="51">
        <f t="shared" si="234"/>
        <v>374.4468</v>
      </c>
    </row>
    <row r="143" spans="1:17">
      <c r="A143" s="78">
        <v>140</v>
      </c>
      <c r="B143" s="79" t="s">
        <v>174</v>
      </c>
      <c r="C143" s="67" t="s">
        <v>186</v>
      </c>
      <c r="D143" s="31" t="s">
        <v>178</v>
      </c>
      <c r="E143" s="7">
        <v>46198</v>
      </c>
      <c r="F143" s="86" t="s">
        <v>285</v>
      </c>
      <c r="G143" s="86" t="s">
        <v>283</v>
      </c>
      <c r="H143" s="86" t="s">
        <v>301</v>
      </c>
      <c r="I143" s="5">
        <v>4758</v>
      </c>
      <c r="J143" s="6" t="s">
        <v>82</v>
      </c>
      <c r="K143" s="2">
        <v>8000</v>
      </c>
      <c r="L143" s="2">
        <f>+K143*0.975</f>
        <v>7800</v>
      </c>
      <c r="M143" s="12">
        <f>+L143-K143</f>
        <v>-200</v>
      </c>
      <c r="N143" s="21">
        <f>+L143/K143</f>
        <v>0.97499999999999998</v>
      </c>
      <c r="O143" s="56">
        <f>E143+P143+1+4+2</f>
        <v>46225.830729492147</v>
      </c>
      <c r="P143" s="25">
        <f>+L143/Q143</f>
        <v>20.830729492146816</v>
      </c>
      <c r="Q143" s="51">
        <f>630*40/60*0.975*0.9144</f>
        <v>374.4468</v>
      </c>
    </row>
    <row r="144" spans="1:17">
      <c r="A144" s="78">
        <v>141</v>
      </c>
      <c r="B144" s="32" t="s">
        <v>174</v>
      </c>
      <c r="C144" s="32" t="s">
        <v>67</v>
      </c>
      <c r="D144" s="32" t="s">
        <v>178</v>
      </c>
      <c r="E144" s="7">
        <v>46204</v>
      </c>
      <c r="F144" s="4" t="s">
        <v>282</v>
      </c>
      <c r="G144" s="4" t="s">
        <v>281</v>
      </c>
      <c r="H144" s="3" t="s">
        <v>0</v>
      </c>
      <c r="I144" s="5">
        <v>4758</v>
      </c>
      <c r="J144" s="6" t="s">
        <v>206</v>
      </c>
      <c r="K144" s="2">
        <v>8000</v>
      </c>
      <c r="L144" s="2">
        <f t="shared" si="224"/>
        <v>7800</v>
      </c>
      <c r="M144" s="2">
        <f t="shared" si="225"/>
        <v>-200</v>
      </c>
      <c r="N144" s="21">
        <f t="shared" si="226"/>
        <v>0.97499999999999998</v>
      </c>
      <c r="O144" s="56">
        <f>E144+P144+1+3</f>
        <v>46228.830729492147</v>
      </c>
      <c r="P144" s="24">
        <f t="shared" si="227"/>
        <v>20.830729492146816</v>
      </c>
      <c r="Q144" s="51">
        <f t="shared" ref="Q144:Q166" si="235">630*40/60*0.975*0.9144</f>
        <v>374.4468</v>
      </c>
    </row>
    <row r="145" spans="1:20" s="80" customFormat="1">
      <c r="A145" s="78">
        <v>142</v>
      </c>
      <c r="B145" s="79" t="s">
        <v>174</v>
      </c>
      <c r="C145" s="67" t="s">
        <v>186</v>
      </c>
      <c r="D145" s="31" t="s">
        <v>178</v>
      </c>
      <c r="E145" s="7">
        <v>46209</v>
      </c>
      <c r="F145" s="86" t="s">
        <v>285</v>
      </c>
      <c r="G145" s="86" t="s">
        <v>283</v>
      </c>
      <c r="H145" s="86" t="s">
        <v>301</v>
      </c>
      <c r="I145" s="5">
        <v>4758</v>
      </c>
      <c r="J145" s="6" t="s">
        <v>36</v>
      </c>
      <c r="K145" s="2">
        <v>8000</v>
      </c>
      <c r="L145" s="2">
        <f>+K145*0.975</f>
        <v>7800</v>
      </c>
      <c r="M145" s="12">
        <f>+L145-K145</f>
        <v>-200</v>
      </c>
      <c r="N145" s="21">
        <f>+L145/K145</f>
        <v>0.97499999999999998</v>
      </c>
      <c r="O145" s="8">
        <f>+E145+P145+1+3</f>
        <v>46233.830729492147</v>
      </c>
      <c r="P145" s="25">
        <f>+L145/Q145</f>
        <v>20.830729492146816</v>
      </c>
      <c r="Q145" s="51">
        <f>630*40/60*0.975*0.9144</f>
        <v>374.4468</v>
      </c>
      <c r="T145"/>
    </row>
    <row r="146" spans="1:20">
      <c r="A146" s="78">
        <v>143</v>
      </c>
      <c r="B146" s="77" t="s">
        <v>174</v>
      </c>
      <c r="C146" s="33" t="s">
        <v>284</v>
      </c>
      <c r="D146" s="31" t="s">
        <v>178</v>
      </c>
      <c r="E146" s="7">
        <v>46207</v>
      </c>
      <c r="F146" s="11" t="s">
        <v>368</v>
      </c>
      <c r="G146" s="11" t="s">
        <v>367</v>
      </c>
      <c r="H146" s="4" t="s">
        <v>0</v>
      </c>
      <c r="I146" s="5">
        <v>4758</v>
      </c>
      <c r="J146" s="6" t="s">
        <v>11</v>
      </c>
      <c r="K146" s="2">
        <v>8000</v>
      </c>
      <c r="L146" s="2">
        <f t="shared" si="224"/>
        <v>7800</v>
      </c>
      <c r="M146" s="12">
        <f t="shared" si="225"/>
        <v>-200</v>
      </c>
      <c r="N146" s="21">
        <f t="shared" si="226"/>
        <v>0.97499999999999998</v>
      </c>
      <c r="O146" s="56">
        <f>E146+P146+1+4</f>
        <v>46232.830729492147</v>
      </c>
      <c r="P146" s="25">
        <f t="shared" si="227"/>
        <v>20.830729492146816</v>
      </c>
      <c r="Q146" s="51">
        <f>630*40/60*0.975*0.9144</f>
        <v>374.4468</v>
      </c>
      <c r="T146" s="80"/>
    </row>
    <row r="147" spans="1:20">
      <c r="A147" s="78">
        <v>144</v>
      </c>
      <c r="B147" s="77" t="s">
        <v>174</v>
      </c>
      <c r="C147" s="33" t="s">
        <v>284</v>
      </c>
      <c r="D147" s="31" t="s">
        <v>178</v>
      </c>
      <c r="E147" s="7">
        <v>46212</v>
      </c>
      <c r="F147" s="11" t="s">
        <v>368</v>
      </c>
      <c r="G147" s="11" t="s">
        <v>367</v>
      </c>
      <c r="H147" s="4" t="s">
        <v>0</v>
      </c>
      <c r="I147" s="5">
        <v>4758</v>
      </c>
      <c r="J147" s="6" t="s">
        <v>150</v>
      </c>
      <c r="K147" s="2">
        <v>8000</v>
      </c>
      <c r="L147" s="2">
        <f t="shared" si="224"/>
        <v>7800</v>
      </c>
      <c r="M147" s="12">
        <f t="shared" si="225"/>
        <v>-200</v>
      </c>
      <c r="N147" s="21">
        <f t="shared" si="226"/>
        <v>0.97499999999999998</v>
      </c>
      <c r="O147" s="8">
        <f>+E147+P147+1+4</f>
        <v>46237.830729492147</v>
      </c>
      <c r="P147" s="25">
        <f t="shared" si="227"/>
        <v>20.830729492146816</v>
      </c>
      <c r="Q147" s="51">
        <f t="shared" ref="Q147" si="236">630*40/60*0.975*0.9144</f>
        <v>374.4468</v>
      </c>
    </row>
    <row r="148" spans="1:20">
      <c r="A148" s="78">
        <v>145</v>
      </c>
      <c r="B148" s="32" t="s">
        <v>174</v>
      </c>
      <c r="C148" s="32" t="s">
        <v>67</v>
      </c>
      <c r="D148" s="32" t="s">
        <v>178</v>
      </c>
      <c r="E148" s="7">
        <v>46197</v>
      </c>
      <c r="F148" s="4" t="s">
        <v>282</v>
      </c>
      <c r="G148" s="4" t="s">
        <v>281</v>
      </c>
      <c r="H148" s="3" t="s">
        <v>0</v>
      </c>
      <c r="I148" s="5">
        <v>4758</v>
      </c>
      <c r="J148" s="6" t="s">
        <v>54</v>
      </c>
      <c r="K148" s="2">
        <v>8000</v>
      </c>
      <c r="L148" s="2">
        <f t="shared" si="224"/>
        <v>7800</v>
      </c>
      <c r="M148" s="2">
        <f t="shared" si="225"/>
        <v>-200</v>
      </c>
      <c r="N148" s="21">
        <f t="shared" si="226"/>
        <v>0.97499999999999998</v>
      </c>
      <c r="O148" s="56">
        <f>E148+P148+1+3</f>
        <v>46221.830729492147</v>
      </c>
      <c r="P148" s="24">
        <f t="shared" si="227"/>
        <v>20.830729492146816</v>
      </c>
      <c r="Q148" s="51">
        <f t="shared" si="235"/>
        <v>374.4468</v>
      </c>
    </row>
    <row r="149" spans="1:20">
      <c r="A149" s="78">
        <v>146</v>
      </c>
      <c r="B149" s="77" t="s">
        <v>174</v>
      </c>
      <c r="C149" s="33" t="s">
        <v>75</v>
      </c>
      <c r="D149" s="31" t="s">
        <v>178</v>
      </c>
      <c r="E149" s="7">
        <v>46199</v>
      </c>
      <c r="F149" s="11" t="s">
        <v>282</v>
      </c>
      <c r="G149" s="11" t="s">
        <v>281</v>
      </c>
      <c r="H149" s="4" t="s">
        <v>0</v>
      </c>
      <c r="I149" s="5">
        <v>4758</v>
      </c>
      <c r="J149" s="6" t="s">
        <v>349</v>
      </c>
      <c r="K149" s="2">
        <v>8000</v>
      </c>
      <c r="L149" s="2">
        <f t="shared" si="224"/>
        <v>7800</v>
      </c>
      <c r="M149" s="12">
        <f t="shared" si="225"/>
        <v>-200</v>
      </c>
      <c r="N149" s="21">
        <f t="shared" si="226"/>
        <v>0.97499999999999998</v>
      </c>
      <c r="O149" s="56">
        <f t="shared" ref="O149:O150" si="237">E149+P149+1+4</f>
        <v>46224.830729492147</v>
      </c>
      <c r="P149" s="25">
        <f t="shared" si="227"/>
        <v>20.830729492146816</v>
      </c>
      <c r="Q149" s="51">
        <f t="shared" si="235"/>
        <v>374.4468</v>
      </c>
    </row>
    <row r="150" spans="1:20">
      <c r="A150" s="78">
        <v>147</v>
      </c>
      <c r="B150" s="77" t="s">
        <v>174</v>
      </c>
      <c r="C150" s="33" t="s">
        <v>284</v>
      </c>
      <c r="D150" s="31" t="s">
        <v>178</v>
      </c>
      <c r="E150" s="7">
        <v>46199</v>
      </c>
      <c r="F150" s="11" t="s">
        <v>282</v>
      </c>
      <c r="G150" s="11" t="s">
        <v>281</v>
      </c>
      <c r="H150" s="4" t="s">
        <v>0</v>
      </c>
      <c r="I150" s="5">
        <v>4758</v>
      </c>
      <c r="J150" s="6" t="s">
        <v>110</v>
      </c>
      <c r="K150" s="2">
        <v>8000</v>
      </c>
      <c r="L150" s="2">
        <f t="shared" si="224"/>
        <v>7800</v>
      </c>
      <c r="M150" s="12">
        <f t="shared" si="225"/>
        <v>-200</v>
      </c>
      <c r="N150" s="21">
        <f t="shared" si="226"/>
        <v>0.97499999999999998</v>
      </c>
      <c r="O150" s="56">
        <f t="shared" si="237"/>
        <v>46224.830729492147</v>
      </c>
      <c r="P150" s="25">
        <f t="shared" si="227"/>
        <v>20.830729492146816</v>
      </c>
      <c r="Q150" s="51">
        <f t="shared" si="235"/>
        <v>374.4468</v>
      </c>
    </row>
    <row r="151" spans="1:20">
      <c r="A151" s="88">
        <v>148</v>
      </c>
      <c r="B151" s="79" t="s">
        <v>174</v>
      </c>
      <c r="C151" s="67" t="s">
        <v>186</v>
      </c>
      <c r="D151" s="31" t="s">
        <v>178</v>
      </c>
      <c r="E151" s="7">
        <v>46209</v>
      </c>
      <c r="F151" s="86" t="s">
        <v>285</v>
      </c>
      <c r="G151" s="86" t="s">
        <v>283</v>
      </c>
      <c r="H151" s="86" t="s">
        <v>301</v>
      </c>
      <c r="I151" s="5">
        <v>4758</v>
      </c>
      <c r="J151" s="6" t="s">
        <v>218</v>
      </c>
      <c r="K151" s="2">
        <v>8000</v>
      </c>
      <c r="L151" s="2">
        <f>+K151*0.975</f>
        <v>7800</v>
      </c>
      <c r="M151" s="12">
        <f>+L151-K151</f>
        <v>-200</v>
      </c>
      <c r="N151" s="21">
        <f>+L151/K151</f>
        <v>0.97499999999999998</v>
      </c>
      <c r="O151" s="8">
        <f>+E151+P151+1+3</f>
        <v>46233.830729492147</v>
      </c>
      <c r="P151" s="25">
        <f>+L151/Q151</f>
        <v>20.830729492146816</v>
      </c>
      <c r="Q151" s="51">
        <f>630*40/60*0.975*0.9144</f>
        <v>374.4468</v>
      </c>
    </row>
    <row r="152" spans="1:20">
      <c r="A152" s="78">
        <v>149</v>
      </c>
      <c r="B152" s="32" t="s">
        <v>174</v>
      </c>
      <c r="C152" s="32" t="s">
        <v>67</v>
      </c>
      <c r="D152" s="32" t="s">
        <v>178</v>
      </c>
      <c r="E152" s="7">
        <v>46198</v>
      </c>
      <c r="F152" s="4" t="s">
        <v>282</v>
      </c>
      <c r="G152" s="4" t="s">
        <v>281</v>
      </c>
      <c r="H152" s="3" t="s">
        <v>0</v>
      </c>
      <c r="I152" s="5">
        <v>4758</v>
      </c>
      <c r="J152" s="6" t="s">
        <v>158</v>
      </c>
      <c r="K152" s="2">
        <v>8000</v>
      </c>
      <c r="L152" s="2">
        <f t="shared" si="224"/>
        <v>7800</v>
      </c>
      <c r="M152" s="2">
        <f t="shared" si="225"/>
        <v>-200</v>
      </c>
      <c r="N152" s="21">
        <f t="shared" si="226"/>
        <v>0.97499999999999998</v>
      </c>
      <c r="O152" s="56">
        <f>E152+P152+1+4</f>
        <v>46223.830729492147</v>
      </c>
      <c r="P152" s="24">
        <f t="shared" si="227"/>
        <v>20.830729492146816</v>
      </c>
      <c r="Q152" s="51">
        <f t="shared" si="235"/>
        <v>374.4468</v>
      </c>
    </row>
    <row r="153" spans="1:20" s="80" customFormat="1">
      <c r="A153" s="78">
        <v>150</v>
      </c>
      <c r="B153" s="77" t="s">
        <v>174</v>
      </c>
      <c r="C153" s="33" t="s">
        <v>75</v>
      </c>
      <c r="D153" s="31" t="s">
        <v>178</v>
      </c>
      <c r="E153" s="7">
        <v>46199</v>
      </c>
      <c r="F153" s="11" t="s">
        <v>282</v>
      </c>
      <c r="G153" s="11" t="s">
        <v>281</v>
      </c>
      <c r="H153" s="4" t="s">
        <v>0</v>
      </c>
      <c r="I153" s="5">
        <v>4758</v>
      </c>
      <c r="J153" s="6" t="s">
        <v>107</v>
      </c>
      <c r="K153" s="2">
        <v>8000</v>
      </c>
      <c r="L153" s="2">
        <f t="shared" si="224"/>
        <v>7800</v>
      </c>
      <c r="M153" s="12">
        <f t="shared" si="225"/>
        <v>-200</v>
      </c>
      <c r="N153" s="21">
        <f t="shared" si="226"/>
        <v>0.97499999999999998</v>
      </c>
      <c r="O153" s="56">
        <f>E153+P153+1+4</f>
        <v>46224.830729492147</v>
      </c>
      <c r="P153" s="25">
        <f t="shared" si="227"/>
        <v>20.830729492146816</v>
      </c>
      <c r="Q153" s="51">
        <f t="shared" si="235"/>
        <v>374.4468</v>
      </c>
      <c r="T153"/>
    </row>
    <row r="154" spans="1:20">
      <c r="A154" s="78">
        <v>151</v>
      </c>
      <c r="B154" s="77" t="s">
        <v>174</v>
      </c>
      <c r="C154" s="33" t="s">
        <v>284</v>
      </c>
      <c r="D154" s="31" t="s">
        <v>178</v>
      </c>
      <c r="E154" s="7">
        <v>46206</v>
      </c>
      <c r="F154" s="11" t="s">
        <v>368</v>
      </c>
      <c r="G154" s="11" t="s">
        <v>367</v>
      </c>
      <c r="H154" s="4" t="s">
        <v>0</v>
      </c>
      <c r="I154" s="5">
        <v>4758</v>
      </c>
      <c r="J154" s="6" t="s">
        <v>23</v>
      </c>
      <c r="K154" s="2">
        <v>8000</v>
      </c>
      <c r="L154" s="2">
        <f t="shared" si="224"/>
        <v>7800</v>
      </c>
      <c r="M154" s="12">
        <f t="shared" si="225"/>
        <v>-200</v>
      </c>
      <c r="N154" s="21">
        <f t="shared" si="226"/>
        <v>0.97499999999999998</v>
      </c>
      <c r="O154" s="56">
        <f>E154+P154+1+4</f>
        <v>46231.830729492147</v>
      </c>
      <c r="P154" s="25">
        <f t="shared" si="227"/>
        <v>20.830729492146816</v>
      </c>
      <c r="Q154" s="51">
        <f t="shared" si="235"/>
        <v>374.4468</v>
      </c>
      <c r="T154" s="80"/>
    </row>
    <row r="155" spans="1:20">
      <c r="A155" s="78">
        <v>152</v>
      </c>
      <c r="B155" s="77" t="s">
        <v>174</v>
      </c>
      <c r="C155" s="33" t="s">
        <v>284</v>
      </c>
      <c r="D155" s="31" t="s">
        <v>178</v>
      </c>
      <c r="E155" s="7">
        <v>46200</v>
      </c>
      <c r="F155" s="11" t="s">
        <v>282</v>
      </c>
      <c r="G155" s="11" t="s">
        <v>281</v>
      </c>
      <c r="H155" s="4" t="s">
        <v>0</v>
      </c>
      <c r="I155" s="5">
        <v>4758</v>
      </c>
      <c r="J155" s="6" t="s">
        <v>213</v>
      </c>
      <c r="K155" s="2">
        <v>8000</v>
      </c>
      <c r="L155" s="2">
        <f t="shared" si="224"/>
        <v>7800</v>
      </c>
      <c r="M155" s="12">
        <f t="shared" si="225"/>
        <v>-200</v>
      </c>
      <c r="N155" s="21">
        <f t="shared" si="226"/>
        <v>0.97499999999999998</v>
      </c>
      <c r="O155" s="56">
        <f>E155+P155+1+4</f>
        <v>46225.830729492147</v>
      </c>
      <c r="P155" s="25">
        <f t="shared" si="227"/>
        <v>20.830729492146816</v>
      </c>
      <c r="Q155" s="51">
        <f t="shared" si="235"/>
        <v>374.4468</v>
      </c>
    </row>
    <row r="156" spans="1:20">
      <c r="A156" s="78">
        <v>153</v>
      </c>
      <c r="B156" s="77" t="s">
        <v>174</v>
      </c>
      <c r="C156" s="33" t="s">
        <v>284</v>
      </c>
      <c r="D156" s="31" t="s">
        <v>178</v>
      </c>
      <c r="E156" s="7">
        <v>46205</v>
      </c>
      <c r="F156" s="11" t="s">
        <v>368</v>
      </c>
      <c r="G156" s="11" t="s">
        <v>367</v>
      </c>
      <c r="H156" s="4" t="s">
        <v>0</v>
      </c>
      <c r="I156" s="5">
        <v>4758</v>
      </c>
      <c r="J156" s="3" t="s">
        <v>16</v>
      </c>
      <c r="K156" s="2">
        <v>8000</v>
      </c>
      <c r="L156" s="2">
        <f t="shared" si="224"/>
        <v>7800</v>
      </c>
      <c r="M156" s="12">
        <f t="shared" si="225"/>
        <v>-200</v>
      </c>
      <c r="N156" s="21">
        <f t="shared" si="226"/>
        <v>0.97499999999999998</v>
      </c>
      <c r="O156" s="56">
        <f t="shared" ref="O156:O157" si="238">E156+P156+1+3</f>
        <v>46229.830729492147</v>
      </c>
      <c r="P156" s="25">
        <f t="shared" si="227"/>
        <v>20.830729492146816</v>
      </c>
      <c r="Q156" s="51">
        <f t="shared" si="235"/>
        <v>374.4468</v>
      </c>
    </row>
    <row r="157" spans="1:20">
      <c r="A157" s="78">
        <v>154</v>
      </c>
      <c r="B157" s="77" t="s">
        <v>174</v>
      </c>
      <c r="C157" s="33" t="s">
        <v>284</v>
      </c>
      <c r="D157" s="31" t="s">
        <v>178</v>
      </c>
      <c r="E157" s="7">
        <v>46205</v>
      </c>
      <c r="F157" s="11" t="s">
        <v>282</v>
      </c>
      <c r="G157" s="11" t="s">
        <v>281</v>
      </c>
      <c r="H157" s="4" t="s">
        <v>0</v>
      </c>
      <c r="I157" s="5">
        <v>4758</v>
      </c>
      <c r="J157" s="6" t="s">
        <v>91</v>
      </c>
      <c r="K157" s="2">
        <v>8000</v>
      </c>
      <c r="L157" s="2">
        <f t="shared" si="224"/>
        <v>7800</v>
      </c>
      <c r="M157" s="12">
        <f t="shared" si="225"/>
        <v>-200</v>
      </c>
      <c r="N157" s="21">
        <f t="shared" si="226"/>
        <v>0.97499999999999998</v>
      </c>
      <c r="O157" s="56">
        <f t="shared" si="238"/>
        <v>46229.830729492147</v>
      </c>
      <c r="P157" s="25">
        <f t="shared" si="227"/>
        <v>20.830729492146816</v>
      </c>
      <c r="Q157" s="51">
        <f t="shared" si="235"/>
        <v>374.4468</v>
      </c>
    </row>
    <row r="158" spans="1:20">
      <c r="A158" s="88">
        <v>155</v>
      </c>
      <c r="B158" s="79" t="s">
        <v>174</v>
      </c>
      <c r="C158" s="67" t="s">
        <v>186</v>
      </c>
      <c r="D158" s="31" t="s">
        <v>178</v>
      </c>
      <c r="E158" s="7">
        <v>46209</v>
      </c>
      <c r="F158" s="86" t="s">
        <v>285</v>
      </c>
      <c r="G158" s="86" t="s">
        <v>283</v>
      </c>
      <c r="H158" s="86" t="s">
        <v>301</v>
      </c>
      <c r="I158" s="5">
        <v>4758</v>
      </c>
      <c r="J158" s="6" t="s">
        <v>205</v>
      </c>
      <c r="K158" s="2">
        <v>8000</v>
      </c>
      <c r="L158" s="2">
        <f>+K158*0.975</f>
        <v>7800</v>
      </c>
      <c r="M158" s="12">
        <f>+L158-K158</f>
        <v>-200</v>
      </c>
      <c r="N158" s="21">
        <f>+L158/K158</f>
        <v>0.97499999999999998</v>
      </c>
      <c r="O158" s="8">
        <f>+E158+P158+1+3</f>
        <v>46233.830729492147</v>
      </c>
      <c r="P158" s="25">
        <f>+L158/Q158</f>
        <v>20.830729492146816</v>
      </c>
      <c r="Q158" s="51">
        <f>630*40/60*0.975*0.9144</f>
        <v>374.4468</v>
      </c>
    </row>
    <row r="159" spans="1:20">
      <c r="A159" s="78">
        <v>156</v>
      </c>
      <c r="B159" s="77" t="s">
        <v>174</v>
      </c>
      <c r="C159" s="33" t="s">
        <v>284</v>
      </c>
      <c r="D159" s="31" t="s">
        <v>178</v>
      </c>
      <c r="E159" s="7">
        <v>46199</v>
      </c>
      <c r="F159" s="11" t="s">
        <v>282</v>
      </c>
      <c r="G159" s="11" t="s">
        <v>281</v>
      </c>
      <c r="H159" s="4" t="s">
        <v>0</v>
      </c>
      <c r="I159" s="5">
        <v>4758</v>
      </c>
      <c r="J159" s="6" t="s">
        <v>84</v>
      </c>
      <c r="K159" s="2">
        <v>8000</v>
      </c>
      <c r="L159" s="2">
        <f t="shared" si="224"/>
        <v>7800</v>
      </c>
      <c r="M159" s="12">
        <f t="shared" si="225"/>
        <v>-200</v>
      </c>
      <c r="N159" s="21">
        <f t="shared" si="226"/>
        <v>0.97499999999999998</v>
      </c>
      <c r="O159" s="56">
        <f>E159+P159+1+4</f>
        <v>46224.830729492147</v>
      </c>
      <c r="P159" s="25">
        <f t="shared" si="227"/>
        <v>20.830729492146816</v>
      </c>
      <c r="Q159" s="51">
        <f t="shared" si="235"/>
        <v>374.4468</v>
      </c>
    </row>
    <row r="160" spans="1:20">
      <c r="A160" s="78">
        <v>157</v>
      </c>
      <c r="B160" s="32" t="s">
        <v>174</v>
      </c>
      <c r="C160" s="32" t="s">
        <v>67</v>
      </c>
      <c r="D160" s="32" t="s">
        <v>178</v>
      </c>
      <c r="E160" s="7">
        <v>46198</v>
      </c>
      <c r="F160" s="4" t="s">
        <v>282</v>
      </c>
      <c r="G160" s="4" t="s">
        <v>281</v>
      </c>
      <c r="H160" s="3" t="s">
        <v>0</v>
      </c>
      <c r="I160" s="5">
        <v>4758</v>
      </c>
      <c r="J160" s="6" t="s">
        <v>20</v>
      </c>
      <c r="K160" s="2">
        <v>8000</v>
      </c>
      <c r="L160" s="2">
        <f t="shared" si="224"/>
        <v>7800</v>
      </c>
      <c r="M160" s="2">
        <f t="shared" si="225"/>
        <v>-200</v>
      </c>
      <c r="N160" s="21">
        <f t="shared" si="226"/>
        <v>0.97499999999999998</v>
      </c>
      <c r="O160" s="56">
        <f>E160+P160+1+4</f>
        <v>46223.830729492147</v>
      </c>
      <c r="P160" s="24">
        <f t="shared" si="227"/>
        <v>20.830729492146816</v>
      </c>
      <c r="Q160" s="51">
        <f t="shared" si="235"/>
        <v>374.4468</v>
      </c>
    </row>
    <row r="161" spans="1:20">
      <c r="A161" s="78">
        <v>158</v>
      </c>
      <c r="B161" s="77" t="s">
        <v>174</v>
      </c>
      <c r="C161" s="33" t="s">
        <v>284</v>
      </c>
      <c r="D161" s="31" t="s">
        <v>178</v>
      </c>
      <c r="E161" s="7">
        <v>46203</v>
      </c>
      <c r="F161" s="11" t="s">
        <v>282</v>
      </c>
      <c r="G161" s="11" t="s">
        <v>281</v>
      </c>
      <c r="H161" s="4" t="s">
        <v>0</v>
      </c>
      <c r="I161" s="5">
        <v>4758</v>
      </c>
      <c r="J161" s="6" t="s">
        <v>360</v>
      </c>
      <c r="K161" s="2">
        <v>8000</v>
      </c>
      <c r="L161" s="2">
        <f t="shared" si="224"/>
        <v>7800</v>
      </c>
      <c r="M161" s="12">
        <f t="shared" si="225"/>
        <v>-200</v>
      </c>
      <c r="N161" s="21">
        <f t="shared" si="226"/>
        <v>0.97499999999999998</v>
      </c>
      <c r="O161" s="56">
        <f>E161+P161+1+3</f>
        <v>46227.830729492147</v>
      </c>
      <c r="P161" s="25">
        <f t="shared" si="227"/>
        <v>20.830729492146816</v>
      </c>
      <c r="Q161" s="51">
        <f t="shared" si="235"/>
        <v>374.4468</v>
      </c>
    </row>
    <row r="162" spans="1:20">
      <c r="A162" s="78">
        <v>159</v>
      </c>
      <c r="B162" s="77" t="s">
        <v>174</v>
      </c>
      <c r="C162" s="33" t="s">
        <v>284</v>
      </c>
      <c r="D162" s="31" t="s">
        <v>178</v>
      </c>
      <c r="E162" s="7">
        <v>46199</v>
      </c>
      <c r="F162" s="11" t="s">
        <v>282</v>
      </c>
      <c r="G162" s="11" t="s">
        <v>281</v>
      </c>
      <c r="H162" s="4" t="s">
        <v>0</v>
      </c>
      <c r="I162" s="5">
        <v>4758</v>
      </c>
      <c r="J162" s="6" t="s">
        <v>350</v>
      </c>
      <c r="K162" s="2">
        <v>8000</v>
      </c>
      <c r="L162" s="2">
        <f t="shared" si="224"/>
        <v>7800</v>
      </c>
      <c r="M162" s="12">
        <f t="shared" si="225"/>
        <v>-200</v>
      </c>
      <c r="N162" s="21">
        <f t="shared" si="226"/>
        <v>0.97499999999999998</v>
      </c>
      <c r="O162" s="56">
        <f>E162+P162+1+4</f>
        <v>46224.830729492147</v>
      </c>
      <c r="P162" s="25">
        <f t="shared" si="227"/>
        <v>20.830729492146816</v>
      </c>
      <c r="Q162" s="51">
        <f t="shared" si="235"/>
        <v>374.4468</v>
      </c>
    </row>
    <row r="163" spans="1:20">
      <c r="A163" s="78">
        <v>160</v>
      </c>
      <c r="B163" s="32" t="s">
        <v>174</v>
      </c>
      <c r="C163" s="32" t="s">
        <v>67</v>
      </c>
      <c r="D163" s="32" t="s">
        <v>178</v>
      </c>
      <c r="E163" s="7">
        <v>46197</v>
      </c>
      <c r="F163" s="4" t="s">
        <v>282</v>
      </c>
      <c r="G163" s="4" t="s">
        <v>281</v>
      </c>
      <c r="H163" s="3" t="s">
        <v>0</v>
      </c>
      <c r="I163" s="5">
        <v>4758</v>
      </c>
      <c r="J163" s="6" t="s">
        <v>233</v>
      </c>
      <c r="K163" s="2">
        <v>8000</v>
      </c>
      <c r="L163" s="2">
        <f t="shared" si="224"/>
        <v>7800</v>
      </c>
      <c r="M163" s="2">
        <f t="shared" si="225"/>
        <v>-200</v>
      </c>
      <c r="N163" s="21">
        <f t="shared" si="226"/>
        <v>0.97499999999999998</v>
      </c>
      <c r="O163" s="56">
        <f>E163+P163+1+3</f>
        <v>46221.830729492147</v>
      </c>
      <c r="P163" s="24">
        <f t="shared" si="227"/>
        <v>20.830729492146816</v>
      </c>
      <c r="Q163" s="51">
        <f t="shared" si="235"/>
        <v>374.4468</v>
      </c>
    </row>
    <row r="164" spans="1:20">
      <c r="A164" s="88">
        <v>161</v>
      </c>
      <c r="B164" s="77" t="s">
        <v>174</v>
      </c>
      <c r="C164" s="33" t="s">
        <v>284</v>
      </c>
      <c r="D164" s="31" t="s">
        <v>178</v>
      </c>
      <c r="E164" s="7">
        <v>46207</v>
      </c>
      <c r="F164" s="11" t="s">
        <v>368</v>
      </c>
      <c r="G164" s="11" t="s">
        <v>367</v>
      </c>
      <c r="H164" s="4" t="s">
        <v>0</v>
      </c>
      <c r="I164" s="5">
        <v>4758</v>
      </c>
      <c r="J164" s="6" t="s">
        <v>234</v>
      </c>
      <c r="K164" s="2">
        <v>8000</v>
      </c>
      <c r="L164" s="2">
        <f t="shared" si="224"/>
        <v>7800</v>
      </c>
      <c r="M164" s="12">
        <f t="shared" si="225"/>
        <v>-200</v>
      </c>
      <c r="N164" s="21">
        <f t="shared" si="226"/>
        <v>0.97499999999999998</v>
      </c>
      <c r="O164" s="56">
        <f>E164+P164+1+4</f>
        <v>46232.830729492147</v>
      </c>
      <c r="P164" s="25">
        <f t="shared" si="227"/>
        <v>20.830729492146816</v>
      </c>
      <c r="Q164" s="51">
        <f>630*40/60*0.975*0.9144</f>
        <v>374.4468</v>
      </c>
    </row>
    <row r="165" spans="1:20">
      <c r="A165" s="78">
        <v>162</v>
      </c>
      <c r="B165" s="77" t="s">
        <v>174</v>
      </c>
      <c r="C165" s="33" t="s">
        <v>284</v>
      </c>
      <c r="D165" s="31" t="s">
        <v>178</v>
      </c>
      <c r="E165" s="7">
        <v>46202</v>
      </c>
      <c r="F165" s="11" t="s">
        <v>282</v>
      </c>
      <c r="G165" s="11" t="s">
        <v>281</v>
      </c>
      <c r="H165" s="4" t="s">
        <v>0</v>
      </c>
      <c r="I165" s="5">
        <v>4758</v>
      </c>
      <c r="J165" s="6" t="s">
        <v>125</v>
      </c>
      <c r="K165" s="2">
        <v>8000</v>
      </c>
      <c r="L165" s="2">
        <f t="shared" ref="L165:L166" si="239">+K165*0.975</f>
        <v>7800</v>
      </c>
      <c r="M165" s="12">
        <f t="shared" ref="M165:M183" si="240">+L165-K165</f>
        <v>-200</v>
      </c>
      <c r="N165" s="21">
        <f t="shared" ref="N165:N187" si="241">+L165/K165</f>
        <v>0.97499999999999998</v>
      </c>
      <c r="O165" s="56">
        <f>E165+P165+1+3</f>
        <v>46226.830729492147</v>
      </c>
      <c r="P165" s="25">
        <f t="shared" ref="P165:P183" si="242">+L165/Q165</f>
        <v>20.830729492146816</v>
      </c>
      <c r="Q165" s="51">
        <f t="shared" si="235"/>
        <v>374.4468</v>
      </c>
    </row>
    <row r="166" spans="1:20">
      <c r="A166" s="78">
        <v>163</v>
      </c>
      <c r="B166" s="77" t="s">
        <v>174</v>
      </c>
      <c r="C166" s="33" t="s">
        <v>284</v>
      </c>
      <c r="D166" s="31" t="s">
        <v>178</v>
      </c>
      <c r="E166" s="7">
        <v>46202</v>
      </c>
      <c r="F166" s="11" t="s">
        <v>282</v>
      </c>
      <c r="G166" s="11" t="s">
        <v>281</v>
      </c>
      <c r="H166" s="4" t="s">
        <v>0</v>
      </c>
      <c r="I166" s="5">
        <v>4758</v>
      </c>
      <c r="J166" s="6" t="s">
        <v>272</v>
      </c>
      <c r="K166" s="2">
        <v>8000</v>
      </c>
      <c r="L166" s="2">
        <f t="shared" si="239"/>
        <v>7800</v>
      </c>
      <c r="M166" s="12">
        <f t="shared" si="240"/>
        <v>-200</v>
      </c>
      <c r="N166" s="21">
        <f t="shared" si="241"/>
        <v>0.97499999999999998</v>
      </c>
      <c r="O166" s="56">
        <f>E166+P166+1+3</f>
        <v>46226.830729492147</v>
      </c>
      <c r="P166" s="25">
        <f t="shared" si="242"/>
        <v>20.830729492146816</v>
      </c>
      <c r="Q166" s="51">
        <f t="shared" si="235"/>
        <v>374.4468</v>
      </c>
    </row>
    <row r="167" spans="1:20">
      <c r="A167" s="78">
        <v>164</v>
      </c>
      <c r="B167" s="77" t="s">
        <v>174</v>
      </c>
      <c r="C167" s="33" t="s">
        <v>284</v>
      </c>
      <c r="D167" s="31" t="s">
        <v>178</v>
      </c>
      <c r="E167" s="7">
        <v>46198</v>
      </c>
      <c r="F167" s="11" t="s">
        <v>244</v>
      </c>
      <c r="G167" s="11" t="s">
        <v>242</v>
      </c>
      <c r="H167" s="4" t="s">
        <v>0</v>
      </c>
      <c r="I167" s="5">
        <v>4758</v>
      </c>
      <c r="J167" s="6" t="s">
        <v>216</v>
      </c>
      <c r="K167" s="2">
        <v>8000</v>
      </c>
      <c r="L167" s="2">
        <f>+K167*0.975</f>
        <v>7800</v>
      </c>
      <c r="M167" s="12">
        <f t="shared" si="240"/>
        <v>-200</v>
      </c>
      <c r="N167" s="21">
        <f t="shared" si="241"/>
        <v>0.97499999999999998</v>
      </c>
      <c r="O167" s="56">
        <f>E167+P167+1+4</f>
        <v>46223.830729492147</v>
      </c>
      <c r="P167" s="25">
        <f t="shared" si="242"/>
        <v>20.830729492146816</v>
      </c>
      <c r="Q167" s="51">
        <f>630*40/60*0.975*0.9144</f>
        <v>374.4468</v>
      </c>
    </row>
    <row r="168" spans="1:20">
      <c r="A168" s="78">
        <v>165</v>
      </c>
      <c r="B168" s="77" t="s">
        <v>174</v>
      </c>
      <c r="C168" s="33" t="s">
        <v>284</v>
      </c>
      <c r="D168" s="31" t="s">
        <v>178</v>
      </c>
      <c r="E168" s="7">
        <v>46220</v>
      </c>
      <c r="F168" s="11" t="s">
        <v>368</v>
      </c>
      <c r="G168" s="11" t="s">
        <v>367</v>
      </c>
      <c r="H168" s="4" t="s">
        <v>0</v>
      </c>
      <c r="I168" s="5">
        <v>4758</v>
      </c>
      <c r="J168" s="6" t="s">
        <v>128</v>
      </c>
      <c r="K168" s="2">
        <v>8000</v>
      </c>
      <c r="L168" s="2">
        <f t="shared" ref="L168" si="243">+K168*0.975</f>
        <v>7800</v>
      </c>
      <c r="M168" s="12">
        <f t="shared" si="240"/>
        <v>-200</v>
      </c>
      <c r="N168" s="21">
        <f t="shared" si="241"/>
        <v>0.97499999999999998</v>
      </c>
      <c r="O168" s="8">
        <f>+E168+P168+1+4</f>
        <v>46245.830729492147</v>
      </c>
      <c r="P168" s="25">
        <f t="shared" si="242"/>
        <v>20.830729492146816</v>
      </c>
      <c r="Q168" s="51">
        <f t="shared" ref="Q168" si="244">630*40/60*0.975*0.9144</f>
        <v>374.4468</v>
      </c>
    </row>
    <row r="169" spans="1:20">
      <c r="A169" s="78">
        <v>166</v>
      </c>
      <c r="B169" s="77" t="s">
        <v>174</v>
      </c>
      <c r="C169" s="33" t="s">
        <v>284</v>
      </c>
      <c r="D169" s="31" t="s">
        <v>178</v>
      </c>
      <c r="E169" s="7">
        <v>46198</v>
      </c>
      <c r="F169" s="11" t="s">
        <v>282</v>
      </c>
      <c r="G169" s="11" t="s">
        <v>281</v>
      </c>
      <c r="H169" s="4" t="s">
        <v>0</v>
      </c>
      <c r="I169" s="5">
        <v>4758</v>
      </c>
      <c r="J169" s="6" t="s">
        <v>193</v>
      </c>
      <c r="K169" s="2">
        <v>8000</v>
      </c>
      <c r="L169" s="2">
        <f>+K169*0.975</f>
        <v>7800</v>
      </c>
      <c r="M169" s="12">
        <f t="shared" si="240"/>
        <v>-200</v>
      </c>
      <c r="N169" s="21">
        <f t="shared" si="241"/>
        <v>0.97499999999999998</v>
      </c>
      <c r="O169" s="56">
        <f>E169+P169+1+4</f>
        <v>46223.830729492147</v>
      </c>
      <c r="P169" s="25">
        <f t="shared" si="242"/>
        <v>20.830729492146816</v>
      </c>
      <c r="Q169" s="51">
        <f>630*40/60*0.975*0.9144</f>
        <v>374.4468</v>
      </c>
    </row>
    <row r="170" spans="1:20">
      <c r="A170" s="78">
        <v>167</v>
      </c>
      <c r="B170" s="77" t="s">
        <v>174</v>
      </c>
      <c r="C170" s="33" t="s">
        <v>284</v>
      </c>
      <c r="D170" s="31" t="s">
        <v>178</v>
      </c>
      <c r="E170" s="7">
        <v>46205</v>
      </c>
      <c r="F170" s="11" t="s">
        <v>282</v>
      </c>
      <c r="G170" s="11" t="s">
        <v>281</v>
      </c>
      <c r="H170" s="4" t="s">
        <v>0</v>
      </c>
      <c r="I170" s="5">
        <v>4758</v>
      </c>
      <c r="J170" s="6" t="s">
        <v>130</v>
      </c>
      <c r="K170" s="2">
        <v>8000</v>
      </c>
      <c r="L170" s="2">
        <f t="shared" ref="L170" si="245">+K170*0.975</f>
        <v>7800</v>
      </c>
      <c r="M170" s="12">
        <f t="shared" si="240"/>
        <v>-200</v>
      </c>
      <c r="N170" s="21">
        <f t="shared" si="241"/>
        <v>0.97499999999999998</v>
      </c>
      <c r="O170" s="56">
        <f t="shared" ref="O170:O178" si="246">E170+P170+1+3</f>
        <v>46229.830729492147</v>
      </c>
      <c r="P170" s="25">
        <f t="shared" si="242"/>
        <v>20.830729492146816</v>
      </c>
      <c r="Q170" s="51">
        <f t="shared" ref="Q170" si="247">630*40/60*0.975*0.9144</f>
        <v>374.4468</v>
      </c>
    </row>
    <row r="171" spans="1:20">
      <c r="A171" s="78">
        <v>168</v>
      </c>
      <c r="B171" s="32" t="s">
        <v>174</v>
      </c>
      <c r="C171" s="32" t="s">
        <v>67</v>
      </c>
      <c r="D171" s="32" t="s">
        <v>178</v>
      </c>
      <c r="E171" s="7">
        <v>46197</v>
      </c>
      <c r="F171" s="4" t="s">
        <v>282</v>
      </c>
      <c r="G171" s="4" t="s">
        <v>281</v>
      </c>
      <c r="H171" s="3" t="s">
        <v>0</v>
      </c>
      <c r="I171" s="5">
        <v>4758</v>
      </c>
      <c r="J171" s="6" t="s">
        <v>88</v>
      </c>
      <c r="K171" s="2">
        <v>8000</v>
      </c>
      <c r="L171" s="2">
        <f>+K171*0.975</f>
        <v>7800</v>
      </c>
      <c r="M171" s="2">
        <f t="shared" si="240"/>
        <v>-200</v>
      </c>
      <c r="N171" s="21">
        <f t="shared" si="241"/>
        <v>0.97499999999999998</v>
      </c>
      <c r="O171" s="56">
        <f t="shared" si="246"/>
        <v>46221.830729492147</v>
      </c>
      <c r="P171" s="24">
        <f t="shared" si="242"/>
        <v>20.830729492146816</v>
      </c>
      <c r="Q171" s="51">
        <f>630*40/60*0.975*0.9144</f>
        <v>374.4468</v>
      </c>
    </row>
    <row r="172" spans="1:20">
      <c r="A172" s="78">
        <v>169</v>
      </c>
      <c r="B172" s="77" t="s">
        <v>174</v>
      </c>
      <c r="C172" s="33" t="s">
        <v>284</v>
      </c>
      <c r="D172" s="31" t="s">
        <v>178</v>
      </c>
      <c r="E172" s="7">
        <v>46202</v>
      </c>
      <c r="F172" s="11" t="s">
        <v>282</v>
      </c>
      <c r="G172" s="11" t="s">
        <v>281</v>
      </c>
      <c r="H172" s="4" t="s">
        <v>0</v>
      </c>
      <c r="I172" s="5">
        <v>4758</v>
      </c>
      <c r="J172" s="6" t="s">
        <v>357</v>
      </c>
      <c r="K172" s="2">
        <v>8000</v>
      </c>
      <c r="L172" s="2">
        <f t="shared" ref="L172:L173" si="248">+K172*0.975</f>
        <v>7800</v>
      </c>
      <c r="M172" s="12">
        <f t="shared" si="240"/>
        <v>-200</v>
      </c>
      <c r="N172" s="21">
        <f t="shared" si="241"/>
        <v>0.97499999999999998</v>
      </c>
      <c r="O172" s="56">
        <f t="shared" si="246"/>
        <v>46226.830729492147</v>
      </c>
      <c r="P172" s="25">
        <f t="shared" si="242"/>
        <v>20.830729492146816</v>
      </c>
      <c r="Q172" s="51">
        <f t="shared" ref="Q172:Q173" si="249">630*40/60*0.975*0.9144</f>
        <v>374.4468</v>
      </c>
    </row>
    <row r="173" spans="1:20">
      <c r="A173" s="78">
        <v>170</v>
      </c>
      <c r="B173" s="77" t="s">
        <v>174</v>
      </c>
      <c r="C173" s="33" t="s">
        <v>284</v>
      </c>
      <c r="D173" s="31" t="s">
        <v>178</v>
      </c>
      <c r="E173" s="7">
        <v>46205</v>
      </c>
      <c r="F173" s="11" t="s">
        <v>282</v>
      </c>
      <c r="G173" s="11" t="s">
        <v>281</v>
      </c>
      <c r="H173" s="4" t="s">
        <v>0</v>
      </c>
      <c r="I173" s="5">
        <v>4758</v>
      </c>
      <c r="J173" s="6" t="s">
        <v>211</v>
      </c>
      <c r="K173" s="2">
        <v>8000</v>
      </c>
      <c r="L173" s="2">
        <f t="shared" si="248"/>
        <v>7800</v>
      </c>
      <c r="M173" s="12">
        <f t="shared" si="240"/>
        <v>-200</v>
      </c>
      <c r="N173" s="21">
        <f t="shared" si="241"/>
        <v>0.97499999999999998</v>
      </c>
      <c r="O173" s="56">
        <f t="shared" si="246"/>
        <v>46229.830729492147</v>
      </c>
      <c r="P173" s="25">
        <f t="shared" si="242"/>
        <v>20.830729492146816</v>
      </c>
      <c r="Q173" s="51">
        <f t="shared" si="249"/>
        <v>374.4468</v>
      </c>
    </row>
    <row r="174" spans="1:20" s="28" customFormat="1">
      <c r="A174" s="78">
        <v>171</v>
      </c>
      <c r="B174" s="77" t="s">
        <v>174</v>
      </c>
      <c r="C174" s="33" t="s">
        <v>284</v>
      </c>
      <c r="D174" s="31" t="s">
        <v>178</v>
      </c>
      <c r="E174" s="7">
        <v>46202</v>
      </c>
      <c r="F174" s="11" t="s">
        <v>282</v>
      </c>
      <c r="G174" s="11" t="s">
        <v>281</v>
      </c>
      <c r="H174" s="4" t="s">
        <v>0</v>
      </c>
      <c r="I174" s="5">
        <v>4758</v>
      </c>
      <c r="J174" s="6" t="s">
        <v>358</v>
      </c>
      <c r="K174" s="2">
        <v>8000</v>
      </c>
      <c r="L174" s="2">
        <f t="shared" ref="L174:L175" si="250">+K174*0.975</f>
        <v>7800</v>
      </c>
      <c r="M174" s="12">
        <f t="shared" si="240"/>
        <v>-200</v>
      </c>
      <c r="N174" s="21">
        <f t="shared" si="241"/>
        <v>0.97499999999999998</v>
      </c>
      <c r="O174" s="56">
        <f t="shared" si="246"/>
        <v>46226.830729492147</v>
      </c>
      <c r="P174" s="25">
        <f t="shared" si="242"/>
        <v>20.830729492146816</v>
      </c>
      <c r="Q174" s="51">
        <f>630*40/60*0.975*0.9144</f>
        <v>374.4468</v>
      </c>
      <c r="T174"/>
    </row>
    <row r="175" spans="1:20">
      <c r="A175" s="78">
        <v>172</v>
      </c>
      <c r="B175" s="77" t="s">
        <v>174</v>
      </c>
      <c r="C175" s="33" t="s">
        <v>284</v>
      </c>
      <c r="D175" s="31" t="s">
        <v>178</v>
      </c>
      <c r="E175" s="7">
        <v>46204</v>
      </c>
      <c r="F175" s="11" t="s">
        <v>282</v>
      </c>
      <c r="G175" s="11" t="s">
        <v>281</v>
      </c>
      <c r="H175" s="4" t="s">
        <v>0</v>
      </c>
      <c r="I175" s="5">
        <v>4758</v>
      </c>
      <c r="J175" s="6" t="s">
        <v>214</v>
      </c>
      <c r="K175" s="2">
        <v>8000</v>
      </c>
      <c r="L175" s="2">
        <f t="shared" si="250"/>
        <v>7800</v>
      </c>
      <c r="M175" s="12">
        <f t="shared" si="240"/>
        <v>-200</v>
      </c>
      <c r="N175" s="21">
        <f t="shared" si="241"/>
        <v>0.97499999999999998</v>
      </c>
      <c r="O175" s="56">
        <f t="shared" si="246"/>
        <v>46228.830729492147</v>
      </c>
      <c r="P175" s="25">
        <f t="shared" si="242"/>
        <v>20.830729492146816</v>
      </c>
      <c r="Q175" s="51">
        <f t="shared" ref="Q175" si="251">630*40/60*0.975*0.9144</f>
        <v>374.4468</v>
      </c>
      <c r="T175" s="28"/>
    </row>
    <row r="176" spans="1:20">
      <c r="A176" s="78">
        <v>173</v>
      </c>
      <c r="B176" s="79" t="s">
        <v>174</v>
      </c>
      <c r="C176" s="67" t="s">
        <v>186</v>
      </c>
      <c r="D176" s="31" t="s">
        <v>178</v>
      </c>
      <c r="E176" s="7">
        <v>46190</v>
      </c>
      <c r="F176" s="86" t="s">
        <v>285</v>
      </c>
      <c r="G176" s="86" t="s">
        <v>283</v>
      </c>
      <c r="H176" s="86" t="s">
        <v>301</v>
      </c>
      <c r="I176" s="5">
        <v>4758</v>
      </c>
      <c r="J176" s="6" t="s">
        <v>180</v>
      </c>
      <c r="K176" s="2">
        <v>8000</v>
      </c>
      <c r="L176" s="2">
        <f>+K176*0.975</f>
        <v>7800</v>
      </c>
      <c r="M176" s="12">
        <f>+L176-K176</f>
        <v>-200</v>
      </c>
      <c r="N176" s="21">
        <f>+L176/K176</f>
        <v>0.97499999999999998</v>
      </c>
      <c r="O176" s="56">
        <f>E176+P176+1+3+4</f>
        <v>46218.830729492147</v>
      </c>
      <c r="P176" s="25">
        <f>+L176/Q176</f>
        <v>20.830729492146816</v>
      </c>
      <c r="Q176" s="51">
        <f>630*40/60*0.975*0.9144</f>
        <v>374.4468</v>
      </c>
    </row>
    <row r="177" spans="1:20">
      <c r="A177" s="78">
        <v>174</v>
      </c>
      <c r="B177" s="77" t="s">
        <v>174</v>
      </c>
      <c r="C177" s="33" t="s">
        <v>284</v>
      </c>
      <c r="D177" s="31" t="s">
        <v>178</v>
      </c>
      <c r="E177" s="7">
        <v>46204</v>
      </c>
      <c r="F177" s="11" t="s">
        <v>282</v>
      </c>
      <c r="G177" s="11" t="s">
        <v>281</v>
      </c>
      <c r="H177" s="4" t="s">
        <v>0</v>
      </c>
      <c r="I177" s="5">
        <v>4758</v>
      </c>
      <c r="J177" s="6" t="s">
        <v>101</v>
      </c>
      <c r="K177" s="2">
        <v>8000</v>
      </c>
      <c r="L177" s="2">
        <f t="shared" ref="L177" si="252">+K177*0.975</f>
        <v>7800</v>
      </c>
      <c r="M177" s="12">
        <f t="shared" ref="M177" si="253">+L177-K177</f>
        <v>-200</v>
      </c>
      <c r="N177" s="21">
        <f t="shared" ref="N177" si="254">+L177/K177</f>
        <v>0.97499999999999998</v>
      </c>
      <c r="O177" s="56">
        <f t="shared" si="246"/>
        <v>46228.830729492147</v>
      </c>
      <c r="P177" s="25">
        <f t="shared" ref="P177" si="255">+L177/Q177</f>
        <v>20.830729492146816</v>
      </c>
      <c r="Q177" s="51">
        <f t="shared" ref="Q177" si="256">630*40/60*0.975*0.9144</f>
        <v>374.4468</v>
      </c>
      <c r="S177" s="93"/>
    </row>
    <row r="178" spans="1:20">
      <c r="A178" s="78">
        <v>175</v>
      </c>
      <c r="B178" s="32" t="s">
        <v>174</v>
      </c>
      <c r="C178" s="32" t="s">
        <v>67</v>
      </c>
      <c r="D178" s="32" t="s">
        <v>178</v>
      </c>
      <c r="E178" s="7">
        <v>46197</v>
      </c>
      <c r="F178" s="4" t="s">
        <v>282</v>
      </c>
      <c r="G178" s="4" t="s">
        <v>281</v>
      </c>
      <c r="H178" s="3" t="s">
        <v>0</v>
      </c>
      <c r="I178" s="5">
        <v>4758</v>
      </c>
      <c r="J178" s="6" t="s">
        <v>243</v>
      </c>
      <c r="K178" s="2">
        <v>8000</v>
      </c>
      <c r="L178" s="2">
        <f t="shared" ref="L178:L183" si="257">+K178*0.975</f>
        <v>7800</v>
      </c>
      <c r="M178" s="2">
        <f t="shared" si="240"/>
        <v>-200</v>
      </c>
      <c r="N178" s="21">
        <f t="shared" si="241"/>
        <v>0.97499999999999998</v>
      </c>
      <c r="O178" s="56">
        <f t="shared" si="246"/>
        <v>46221.830729492147</v>
      </c>
      <c r="P178" s="24">
        <f t="shared" si="242"/>
        <v>20.830729492146816</v>
      </c>
      <c r="Q178" s="51">
        <f>630*40/60*0.975*0.9144</f>
        <v>374.4468</v>
      </c>
      <c r="S178" s="93"/>
    </row>
    <row r="179" spans="1:20">
      <c r="A179" s="78">
        <v>176</v>
      </c>
      <c r="B179" s="32" t="s">
        <v>174</v>
      </c>
      <c r="C179" s="32" t="s">
        <v>67</v>
      </c>
      <c r="D179" s="32" t="s">
        <v>178</v>
      </c>
      <c r="E179" s="7">
        <v>46198</v>
      </c>
      <c r="F179" s="4" t="s">
        <v>282</v>
      </c>
      <c r="G179" s="4" t="s">
        <v>281</v>
      </c>
      <c r="H179" s="3" t="s">
        <v>0</v>
      </c>
      <c r="I179" s="5">
        <v>4758</v>
      </c>
      <c r="J179" s="6" t="s">
        <v>148</v>
      </c>
      <c r="K179" s="2">
        <v>8000</v>
      </c>
      <c r="L179" s="2">
        <f t="shared" si="257"/>
        <v>7800</v>
      </c>
      <c r="M179" s="2">
        <f t="shared" si="240"/>
        <v>-200</v>
      </c>
      <c r="N179" s="21">
        <f t="shared" si="241"/>
        <v>0.97499999999999998</v>
      </c>
      <c r="O179" s="56">
        <f>E179+P179+1+4</f>
        <v>46223.830729492147</v>
      </c>
      <c r="P179" s="24">
        <f t="shared" si="242"/>
        <v>20.830729492146816</v>
      </c>
      <c r="Q179" s="51">
        <f t="shared" ref="Q179" si="258">630*40/60*0.975*0.9144</f>
        <v>374.4468</v>
      </c>
      <c r="S179" s="93"/>
    </row>
    <row r="180" spans="1:20">
      <c r="A180" s="78">
        <v>177</v>
      </c>
      <c r="B180" s="79" t="s">
        <v>174</v>
      </c>
      <c r="C180" s="67" t="s">
        <v>186</v>
      </c>
      <c r="D180" s="31" t="s">
        <v>178</v>
      </c>
      <c r="E180" s="7">
        <v>46190</v>
      </c>
      <c r="F180" s="86" t="s">
        <v>285</v>
      </c>
      <c r="G180" s="86" t="s">
        <v>283</v>
      </c>
      <c r="H180" s="86" t="s">
        <v>301</v>
      </c>
      <c r="I180" s="5">
        <v>4758</v>
      </c>
      <c r="J180" s="6" t="s">
        <v>139</v>
      </c>
      <c r="K180" s="2">
        <v>8000</v>
      </c>
      <c r="L180" s="2">
        <f>+K180*0.975</f>
        <v>7800</v>
      </c>
      <c r="M180" s="12">
        <f>+L180-K180</f>
        <v>-200</v>
      </c>
      <c r="N180" s="21">
        <f>+L180/K180</f>
        <v>0.97499999999999998</v>
      </c>
      <c r="O180" s="56">
        <f>E180+P180+1+3+6</f>
        <v>46220.830729492147</v>
      </c>
      <c r="P180" s="25">
        <f>+L180/Q180</f>
        <v>20.830729492146816</v>
      </c>
      <c r="Q180" s="51">
        <f>630*40/60*0.975*0.9144</f>
        <v>374.4468</v>
      </c>
    </row>
    <row r="181" spans="1:20">
      <c r="A181" s="78">
        <v>178</v>
      </c>
      <c r="B181" s="32" t="s">
        <v>174</v>
      </c>
      <c r="C181" s="32" t="s">
        <v>67</v>
      </c>
      <c r="D181" s="32" t="s">
        <v>178</v>
      </c>
      <c r="E181" s="7">
        <v>46197</v>
      </c>
      <c r="F181" s="4" t="s">
        <v>282</v>
      </c>
      <c r="G181" s="4" t="s">
        <v>281</v>
      </c>
      <c r="H181" s="3" t="s">
        <v>0</v>
      </c>
      <c r="I181" s="5">
        <v>4758</v>
      </c>
      <c r="J181" s="6" t="s">
        <v>68</v>
      </c>
      <c r="K181" s="2">
        <v>8000</v>
      </c>
      <c r="L181" s="2">
        <f t="shared" ref="L181" si="259">+K181*0.975</f>
        <v>7800</v>
      </c>
      <c r="M181" s="2">
        <f t="shared" ref="M181" si="260">+L181-K181</f>
        <v>-200</v>
      </c>
      <c r="N181" s="21">
        <f t="shared" ref="N181" si="261">+L181/K181</f>
        <v>0.97499999999999998</v>
      </c>
      <c r="O181" s="56">
        <f>E181+P181+1+3</f>
        <v>46221.830729492147</v>
      </c>
      <c r="P181" s="24">
        <f t="shared" ref="P181" si="262">+L181/Q181</f>
        <v>20.830729492146816</v>
      </c>
      <c r="Q181" s="51">
        <f t="shared" ref="Q181" si="263">630*40/60*0.975*0.9144</f>
        <v>374.4468</v>
      </c>
      <c r="S181" s="94"/>
    </row>
    <row r="182" spans="1:20">
      <c r="A182" s="78">
        <v>179</v>
      </c>
      <c r="B182" s="79" t="s">
        <v>174</v>
      </c>
      <c r="C182" s="67" t="s">
        <v>186</v>
      </c>
      <c r="D182" s="31" t="s">
        <v>178</v>
      </c>
      <c r="E182" s="7">
        <v>46198</v>
      </c>
      <c r="F182" s="86" t="s">
        <v>285</v>
      </c>
      <c r="G182" s="86" t="s">
        <v>283</v>
      </c>
      <c r="H182" s="86" t="s">
        <v>301</v>
      </c>
      <c r="I182" s="5">
        <v>4758</v>
      </c>
      <c r="J182" s="6" t="s">
        <v>271</v>
      </c>
      <c r="K182" s="2">
        <v>8000</v>
      </c>
      <c r="L182" s="2">
        <f>+K182*0.975</f>
        <v>7800</v>
      </c>
      <c r="M182" s="12">
        <f>+L182-K182</f>
        <v>-200</v>
      </c>
      <c r="N182" s="21">
        <f>+L182/K182</f>
        <v>0.97499999999999998</v>
      </c>
      <c r="O182" s="56">
        <f>E182+P182+1+4+3</f>
        <v>46226.830729492147</v>
      </c>
      <c r="P182" s="25">
        <f>+L182/Q182</f>
        <v>20.830729492146816</v>
      </c>
      <c r="Q182" s="51">
        <f>630*40/60*0.975*0.9144</f>
        <v>374.4468</v>
      </c>
    </row>
    <row r="183" spans="1:20">
      <c r="A183" s="78">
        <v>180</v>
      </c>
      <c r="B183" s="32" t="s">
        <v>174</v>
      </c>
      <c r="C183" s="32" t="s">
        <v>67</v>
      </c>
      <c r="D183" s="32" t="s">
        <v>178</v>
      </c>
      <c r="E183" s="7">
        <v>46198</v>
      </c>
      <c r="F183" s="4" t="s">
        <v>282</v>
      </c>
      <c r="G183" s="4" t="s">
        <v>281</v>
      </c>
      <c r="H183" s="3" t="s">
        <v>0</v>
      </c>
      <c r="I183" s="5">
        <v>4758</v>
      </c>
      <c r="J183" s="6" t="s">
        <v>151</v>
      </c>
      <c r="K183" s="2">
        <v>8000</v>
      </c>
      <c r="L183" s="2">
        <f t="shared" si="257"/>
        <v>7800</v>
      </c>
      <c r="M183" s="2">
        <f t="shared" si="240"/>
        <v>-200</v>
      </c>
      <c r="N183" s="21">
        <f t="shared" si="241"/>
        <v>0.97499999999999998</v>
      </c>
      <c r="O183" s="56">
        <f t="shared" ref="O183" si="264">E183+P183+1+4</f>
        <v>46223.830729492147</v>
      </c>
      <c r="P183" s="24">
        <f t="shared" si="242"/>
        <v>20.830729492146816</v>
      </c>
      <c r="Q183" s="51">
        <f>630*40/60*0.975*0.9144</f>
        <v>374.4468</v>
      </c>
    </row>
    <row r="184" spans="1:20">
      <c r="A184" s="78">
        <v>181</v>
      </c>
      <c r="B184" s="75" t="s">
        <v>267</v>
      </c>
      <c r="C184" s="3" t="s">
        <v>184</v>
      </c>
      <c r="D184" s="31" t="s">
        <v>178</v>
      </c>
      <c r="E184" s="7">
        <v>46207</v>
      </c>
      <c r="F184" s="4" t="s">
        <v>311</v>
      </c>
      <c r="G184" s="4" t="s">
        <v>312</v>
      </c>
      <c r="H184" s="4" t="s">
        <v>268</v>
      </c>
      <c r="I184" s="37">
        <v>5146</v>
      </c>
      <c r="J184" s="4" t="s">
        <v>366</v>
      </c>
      <c r="K184" s="2">
        <v>5000</v>
      </c>
      <c r="L184" s="2">
        <f>K184*0.95</f>
        <v>4750</v>
      </c>
      <c r="M184" s="2">
        <f t="shared" ref="M184:M185" si="265">L184-K184</f>
        <v>-250</v>
      </c>
      <c r="N184" s="22">
        <f t="shared" si="241"/>
        <v>0.95</v>
      </c>
      <c r="O184" s="8">
        <f>+E184+P184+1+3</f>
        <v>46223.675972321638</v>
      </c>
      <c r="P184" s="39">
        <f t="shared" ref="P184:P185" si="266">L184/Q184</f>
        <v>12.675972321641613</v>
      </c>
      <c r="Q184" s="27">
        <f>550*40/51*0.95*0.9144</f>
        <v>374.72470588235296</v>
      </c>
    </row>
    <row r="185" spans="1:20">
      <c r="A185" s="78">
        <v>182</v>
      </c>
      <c r="B185" s="75" t="s">
        <v>267</v>
      </c>
      <c r="C185" s="3" t="s">
        <v>184</v>
      </c>
      <c r="D185" s="31" t="s">
        <v>178</v>
      </c>
      <c r="E185" s="7">
        <v>46209</v>
      </c>
      <c r="F185" s="4" t="s">
        <v>311</v>
      </c>
      <c r="G185" s="4" t="s">
        <v>312</v>
      </c>
      <c r="H185" s="4" t="s">
        <v>268</v>
      </c>
      <c r="I185" s="37">
        <v>5146</v>
      </c>
      <c r="J185" s="4" t="s">
        <v>371</v>
      </c>
      <c r="K185" s="2">
        <v>5000</v>
      </c>
      <c r="L185" s="2">
        <f>K185*0.95</f>
        <v>4750</v>
      </c>
      <c r="M185" s="2">
        <f t="shared" si="265"/>
        <v>-250</v>
      </c>
      <c r="N185" s="22">
        <f t="shared" si="241"/>
        <v>0.95</v>
      </c>
      <c r="O185" s="8">
        <f>+E185+P185+1+2</f>
        <v>46224.675972321638</v>
      </c>
      <c r="P185" s="39">
        <f t="shared" si="266"/>
        <v>12.675972321641613</v>
      </c>
      <c r="Q185" s="27">
        <f>550*40/51*0.95*0.9144</f>
        <v>374.72470588235296</v>
      </c>
    </row>
    <row r="186" spans="1:20">
      <c r="A186" s="78">
        <v>183</v>
      </c>
      <c r="B186" s="32" t="s">
        <v>174</v>
      </c>
      <c r="C186" s="32" t="s">
        <v>67</v>
      </c>
      <c r="D186" s="32" t="s">
        <v>178</v>
      </c>
      <c r="E186" s="7">
        <v>46219</v>
      </c>
      <c r="F186" s="4" t="s">
        <v>282</v>
      </c>
      <c r="G186" s="4" t="s">
        <v>281</v>
      </c>
      <c r="H186" s="3" t="s">
        <v>0</v>
      </c>
      <c r="I186" s="5">
        <v>4758</v>
      </c>
      <c r="J186" s="6" t="s">
        <v>32</v>
      </c>
      <c r="K186" s="2">
        <v>1714</v>
      </c>
      <c r="L186" s="2">
        <f t="shared" ref="L186:L187" si="267">+K186*0.975</f>
        <v>1671.1499999999999</v>
      </c>
      <c r="M186" s="2">
        <f t="shared" ref="M186:M187" si="268">+L186-K186</f>
        <v>-42.850000000000136</v>
      </c>
      <c r="N186" s="21">
        <f t="shared" si="241"/>
        <v>0.97499999999999987</v>
      </c>
      <c r="O186" s="56">
        <f>E186+P186+1+1</f>
        <v>46225.462983793695</v>
      </c>
      <c r="P186" s="24">
        <f t="shared" ref="P186:P187" si="269">+L186/Q186</f>
        <v>4.4629837936924543</v>
      </c>
      <c r="Q186" s="51">
        <f>630*40/60*0.975*0.9144</f>
        <v>374.4468</v>
      </c>
    </row>
    <row r="187" spans="1:20">
      <c r="A187" s="78">
        <v>184</v>
      </c>
      <c r="B187" s="77" t="s">
        <v>174</v>
      </c>
      <c r="C187" s="33" t="s">
        <v>284</v>
      </c>
      <c r="D187" s="31" t="s">
        <v>178</v>
      </c>
      <c r="E187" s="7">
        <v>46214</v>
      </c>
      <c r="F187" s="11" t="s">
        <v>368</v>
      </c>
      <c r="G187" s="11" t="s">
        <v>367</v>
      </c>
      <c r="H187" s="4" t="s">
        <v>0</v>
      </c>
      <c r="I187" s="5">
        <v>4758</v>
      </c>
      <c r="J187" s="6" t="s">
        <v>14</v>
      </c>
      <c r="K187" s="2">
        <v>8000</v>
      </c>
      <c r="L187" s="2">
        <f t="shared" si="267"/>
        <v>7800</v>
      </c>
      <c r="M187" s="12">
        <f t="shared" si="268"/>
        <v>-200</v>
      </c>
      <c r="N187" s="21">
        <f t="shared" si="241"/>
        <v>0.97499999999999998</v>
      </c>
      <c r="O187" s="8">
        <f>+E187+P187+1+4</f>
        <v>46239.830729492147</v>
      </c>
      <c r="P187" s="25">
        <f t="shared" si="269"/>
        <v>20.830729492146816</v>
      </c>
      <c r="Q187" s="51">
        <f t="shared" ref="Q187" si="270">630*40/60*0.975*0.9144</f>
        <v>374.4468</v>
      </c>
      <c r="T187" s="93"/>
    </row>
    <row r="188" spans="1:20">
      <c r="A188" s="78">
        <v>185</v>
      </c>
      <c r="B188" s="70" t="s">
        <v>191</v>
      </c>
      <c r="C188" s="33" t="s">
        <v>247</v>
      </c>
      <c r="D188" s="31" t="s">
        <v>178</v>
      </c>
      <c r="E188" s="7">
        <v>46217</v>
      </c>
      <c r="F188" s="86" t="s">
        <v>260</v>
      </c>
      <c r="G188" s="86" t="s">
        <v>261</v>
      </c>
      <c r="H188" s="4" t="s">
        <v>351</v>
      </c>
      <c r="I188" s="5">
        <v>6564</v>
      </c>
      <c r="J188" s="6" t="s">
        <v>396</v>
      </c>
      <c r="K188" s="2">
        <v>6100</v>
      </c>
      <c r="L188" s="2">
        <f t="shared" ref="L188" si="271">+K188*0.95</f>
        <v>5795</v>
      </c>
      <c r="M188" s="2">
        <f t="shared" ref="M188" si="272">+L188-K188</f>
        <v>-305</v>
      </c>
      <c r="N188" s="21">
        <f t="shared" ref="N188:N205" si="273">+L188/K188</f>
        <v>0.95</v>
      </c>
      <c r="O188" s="8">
        <f>+E188+P188+1+3</f>
        <v>46241.990775937491</v>
      </c>
      <c r="P188" s="24">
        <f>+L188/Q188</f>
        <v>20.990775937490572</v>
      </c>
      <c r="Q188" s="51">
        <f>580*40/73*0.95*0.9144</f>
        <v>276.07364383561645</v>
      </c>
    </row>
    <row r="189" spans="1:20">
      <c r="A189" s="78">
        <v>186</v>
      </c>
      <c r="B189" s="70" t="s">
        <v>248</v>
      </c>
      <c r="C189" s="33" t="s">
        <v>184</v>
      </c>
      <c r="D189" s="31" t="s">
        <v>178</v>
      </c>
      <c r="E189" s="7">
        <v>46220</v>
      </c>
      <c r="F189" s="4" t="s">
        <v>310</v>
      </c>
      <c r="G189" s="4" t="s">
        <v>309</v>
      </c>
      <c r="H189" s="4" t="s">
        <v>249</v>
      </c>
      <c r="I189" s="5">
        <v>4650</v>
      </c>
      <c r="J189" s="36" t="s">
        <v>407</v>
      </c>
      <c r="K189" s="2">
        <v>7000</v>
      </c>
      <c r="L189" s="25">
        <f t="shared" ref="L189:L190" si="274">+K189*0.95</f>
        <v>6650</v>
      </c>
      <c r="M189" s="2">
        <f t="shared" ref="M189" si="275">L189-K189</f>
        <v>-350</v>
      </c>
      <c r="N189" s="22">
        <f t="shared" ref="N189:N191" si="276">+L189/K189</f>
        <v>0.95</v>
      </c>
      <c r="O189" s="56">
        <f>E189+P189+1+3</f>
        <v>46238.835452968553</v>
      </c>
      <c r="P189" s="39">
        <f t="shared" ref="P189" si="277">L189/Q189</f>
        <v>14.835452968552541</v>
      </c>
      <c r="Q189" s="27">
        <f t="shared" ref="Q189" si="278">600*40/47*0.96*0.9144</f>
        <v>448.25055319148936</v>
      </c>
    </row>
    <row r="190" spans="1:20">
      <c r="A190" s="78">
        <v>187</v>
      </c>
      <c r="B190" s="70" t="s">
        <v>191</v>
      </c>
      <c r="C190" s="33" t="s">
        <v>247</v>
      </c>
      <c r="D190" s="31" t="s">
        <v>178</v>
      </c>
      <c r="E190" s="7">
        <v>46220</v>
      </c>
      <c r="F190" s="86" t="s">
        <v>260</v>
      </c>
      <c r="G190" s="86" t="s">
        <v>261</v>
      </c>
      <c r="H190" s="4" t="s">
        <v>351</v>
      </c>
      <c r="I190" s="5">
        <v>6564</v>
      </c>
      <c r="J190" s="6" t="s">
        <v>408</v>
      </c>
      <c r="K190" s="2">
        <v>6100</v>
      </c>
      <c r="L190" s="2">
        <f t="shared" si="274"/>
        <v>5795</v>
      </c>
      <c r="M190" s="2">
        <f t="shared" ref="M190:M191" si="279">+L190-K190</f>
        <v>-305</v>
      </c>
      <c r="N190" s="21">
        <f t="shared" si="276"/>
        <v>0.95</v>
      </c>
      <c r="O190" s="8">
        <f>+E190+P190+1+4</f>
        <v>46245.990775937491</v>
      </c>
      <c r="P190" s="24">
        <f>+L190/Q190</f>
        <v>20.990775937490572</v>
      </c>
      <c r="Q190" s="51">
        <f>580*40/73*0.95*0.9144</f>
        <v>276.07364383561645</v>
      </c>
    </row>
    <row r="191" spans="1:20">
      <c r="A191" s="78">
        <v>188</v>
      </c>
      <c r="B191" s="77" t="s">
        <v>174</v>
      </c>
      <c r="C191" s="33" t="s">
        <v>284</v>
      </c>
      <c r="D191" s="31" t="s">
        <v>178</v>
      </c>
      <c r="E191" s="7">
        <v>46213</v>
      </c>
      <c r="F191" s="11" t="s">
        <v>368</v>
      </c>
      <c r="G191" s="11" t="s">
        <v>367</v>
      </c>
      <c r="H191" s="4" t="s">
        <v>0</v>
      </c>
      <c r="I191" s="5">
        <v>4758</v>
      </c>
      <c r="J191" s="6" t="s">
        <v>269</v>
      </c>
      <c r="K191" s="2">
        <v>8000</v>
      </c>
      <c r="L191" s="2">
        <f t="shared" ref="L191" si="280">+K191*0.975</f>
        <v>7800</v>
      </c>
      <c r="M191" s="12">
        <f t="shared" si="279"/>
        <v>-200</v>
      </c>
      <c r="N191" s="21">
        <f t="shared" si="276"/>
        <v>0.97499999999999998</v>
      </c>
      <c r="O191" s="8">
        <f>+E191+P191+1+4</f>
        <v>46238.830729492147</v>
      </c>
      <c r="P191" s="25">
        <f t="shared" ref="P191" si="281">+L191/Q191</f>
        <v>20.830729492146816</v>
      </c>
      <c r="Q191" s="51">
        <f t="shared" ref="Q191" si="282">630*40/60*0.975*0.9144</f>
        <v>374.4468</v>
      </c>
    </row>
    <row r="192" spans="1:20">
      <c r="A192" s="78">
        <v>189</v>
      </c>
      <c r="B192" s="77" t="s">
        <v>174</v>
      </c>
      <c r="C192" s="33" t="s">
        <v>284</v>
      </c>
      <c r="D192" s="31" t="s">
        <v>178</v>
      </c>
      <c r="E192" s="7">
        <v>46206</v>
      </c>
      <c r="F192" s="11" t="s">
        <v>368</v>
      </c>
      <c r="G192" s="11" t="s">
        <v>367</v>
      </c>
      <c r="H192" s="4" t="s">
        <v>0</v>
      </c>
      <c r="I192" s="5">
        <v>4758</v>
      </c>
      <c r="J192" s="6" t="s">
        <v>245</v>
      </c>
      <c r="K192" s="2">
        <v>8000</v>
      </c>
      <c r="L192" s="2">
        <f t="shared" ref="L192" si="283">+K192*0.975</f>
        <v>7800</v>
      </c>
      <c r="M192" s="12">
        <f t="shared" ref="M192" si="284">+L192-K192</f>
        <v>-200</v>
      </c>
      <c r="N192" s="21">
        <f t="shared" si="273"/>
        <v>0.97499999999999998</v>
      </c>
      <c r="O192" s="56">
        <f>E192+P192+1+4</f>
        <v>46231.830729492147</v>
      </c>
      <c r="P192" s="25">
        <f t="shared" ref="P192" si="285">+L192/Q192</f>
        <v>20.830729492146816</v>
      </c>
      <c r="Q192" s="51">
        <f t="shared" ref="Q192" si="286">630*40/60*0.975*0.9144</f>
        <v>374.4468</v>
      </c>
    </row>
    <row r="193" spans="1:5055">
      <c r="A193" s="78">
        <v>190</v>
      </c>
      <c r="B193" s="70" t="s">
        <v>248</v>
      </c>
      <c r="C193" s="33" t="s">
        <v>184</v>
      </c>
      <c r="D193" s="31" t="s">
        <v>178</v>
      </c>
      <c r="E193" s="7">
        <v>46213</v>
      </c>
      <c r="F193" s="4" t="s">
        <v>310</v>
      </c>
      <c r="G193" s="4" t="s">
        <v>309</v>
      </c>
      <c r="H193" s="4" t="s">
        <v>249</v>
      </c>
      <c r="I193" s="5">
        <v>4650</v>
      </c>
      <c r="J193" s="36" t="s">
        <v>389</v>
      </c>
      <c r="K193" s="2">
        <v>7000</v>
      </c>
      <c r="L193" s="25">
        <f t="shared" ref="L193" si="287">+K193*0.95</f>
        <v>6650</v>
      </c>
      <c r="M193" s="2">
        <f t="shared" ref="M193" si="288">L193-K193</f>
        <v>-350</v>
      </c>
      <c r="N193" s="22">
        <f t="shared" si="273"/>
        <v>0.95</v>
      </c>
      <c r="O193" s="56">
        <f>E193+P193+1+3</f>
        <v>46231.835452968553</v>
      </c>
      <c r="P193" s="39">
        <f t="shared" ref="P193" si="289">L193/Q193</f>
        <v>14.835452968552541</v>
      </c>
      <c r="Q193" s="27">
        <f t="shared" ref="Q193" si="290">600*40/47*0.96*0.9144</f>
        <v>448.25055319148936</v>
      </c>
    </row>
    <row r="194" spans="1:5055">
      <c r="A194" s="78">
        <v>191</v>
      </c>
      <c r="B194" s="77" t="s">
        <v>174</v>
      </c>
      <c r="C194" s="33" t="s">
        <v>284</v>
      </c>
      <c r="D194" s="31" t="s">
        <v>178</v>
      </c>
      <c r="E194" s="7">
        <v>46207</v>
      </c>
      <c r="F194" s="11" t="s">
        <v>368</v>
      </c>
      <c r="G194" s="11" t="s">
        <v>367</v>
      </c>
      <c r="H194" s="4" t="s">
        <v>0</v>
      </c>
      <c r="I194" s="5">
        <v>4758</v>
      </c>
      <c r="J194" s="6" t="s">
        <v>78</v>
      </c>
      <c r="K194" s="2">
        <v>8000</v>
      </c>
      <c r="L194" s="2">
        <f t="shared" ref="L194:L196" si="291">+K194*0.975</f>
        <v>7800</v>
      </c>
      <c r="M194" s="12">
        <f t="shared" ref="M194:M196" si="292">+L194-K194</f>
        <v>-200</v>
      </c>
      <c r="N194" s="21">
        <f t="shared" si="273"/>
        <v>0.97499999999999998</v>
      </c>
      <c r="O194" s="56">
        <f>E194+P194+1+4</f>
        <v>46232.830729492147</v>
      </c>
      <c r="P194" s="25">
        <f t="shared" ref="P194:P196" si="293">+L194/Q194</f>
        <v>20.830729492146816</v>
      </c>
      <c r="Q194" s="51">
        <f>630*40/60*0.975*0.9144</f>
        <v>374.4468</v>
      </c>
    </row>
    <row r="195" spans="1:5055">
      <c r="A195" s="78">
        <v>192</v>
      </c>
      <c r="B195" s="77" t="s">
        <v>174</v>
      </c>
      <c r="C195" s="33" t="s">
        <v>284</v>
      </c>
      <c r="D195" s="31" t="s">
        <v>178</v>
      </c>
      <c r="E195" s="7">
        <v>46220</v>
      </c>
      <c r="F195" s="11" t="s">
        <v>368</v>
      </c>
      <c r="G195" s="11" t="s">
        <v>367</v>
      </c>
      <c r="H195" s="4" t="s">
        <v>0</v>
      </c>
      <c r="I195" s="5">
        <v>4758</v>
      </c>
      <c r="J195" s="6" t="s">
        <v>409</v>
      </c>
      <c r="K195" s="2">
        <v>7000</v>
      </c>
      <c r="L195" s="2">
        <f t="shared" si="291"/>
        <v>6825</v>
      </c>
      <c r="M195" s="12">
        <f t="shared" si="292"/>
        <v>-175</v>
      </c>
      <c r="N195" s="21">
        <f t="shared" si="273"/>
        <v>0.97499999999999998</v>
      </c>
      <c r="O195" s="8">
        <f>+E195+P195+1+3</f>
        <v>46242.226888305631</v>
      </c>
      <c r="P195" s="25">
        <f t="shared" si="293"/>
        <v>18.226888305628464</v>
      </c>
      <c r="Q195" s="51">
        <f t="shared" ref="Q195:Q196" si="294">630*40/60*0.975*0.9144</f>
        <v>374.4468</v>
      </c>
    </row>
    <row r="196" spans="1:5055">
      <c r="A196" s="78">
        <v>193</v>
      </c>
      <c r="B196" s="77" t="s">
        <v>174</v>
      </c>
      <c r="C196" s="33" t="s">
        <v>284</v>
      </c>
      <c r="D196" s="31" t="s">
        <v>178</v>
      </c>
      <c r="E196" s="7">
        <v>46220</v>
      </c>
      <c r="F196" s="11" t="s">
        <v>368</v>
      </c>
      <c r="G196" s="11" t="s">
        <v>367</v>
      </c>
      <c r="H196" s="4" t="s">
        <v>0</v>
      </c>
      <c r="I196" s="5">
        <v>4758</v>
      </c>
      <c r="J196" s="6" t="s">
        <v>227</v>
      </c>
      <c r="K196" s="2">
        <v>8000</v>
      </c>
      <c r="L196" s="2">
        <f t="shared" si="291"/>
        <v>7800</v>
      </c>
      <c r="M196" s="12">
        <f t="shared" si="292"/>
        <v>-200</v>
      </c>
      <c r="N196" s="21">
        <f t="shared" si="273"/>
        <v>0.97499999999999998</v>
      </c>
      <c r="O196" s="8">
        <f>+E196+P196+1+4</f>
        <v>46245.830729492147</v>
      </c>
      <c r="P196" s="25">
        <f t="shared" si="293"/>
        <v>20.830729492146816</v>
      </c>
      <c r="Q196" s="51">
        <f t="shared" si="294"/>
        <v>374.4468</v>
      </c>
    </row>
    <row r="197" spans="1:5055">
      <c r="A197" s="78">
        <v>194</v>
      </c>
      <c r="B197" s="77" t="s">
        <v>174</v>
      </c>
      <c r="C197" s="33" t="s">
        <v>284</v>
      </c>
      <c r="D197" s="31" t="s">
        <v>178</v>
      </c>
      <c r="E197" s="7">
        <v>46205</v>
      </c>
      <c r="F197" s="11" t="s">
        <v>368</v>
      </c>
      <c r="G197" s="11" t="s">
        <v>367</v>
      </c>
      <c r="H197" s="4" t="s">
        <v>0</v>
      </c>
      <c r="I197" s="5">
        <v>4758</v>
      </c>
      <c r="J197" s="6" t="s">
        <v>127</v>
      </c>
      <c r="K197" s="2">
        <v>8000</v>
      </c>
      <c r="L197" s="2">
        <f t="shared" ref="L197:L198" si="295">+K197*0.975</f>
        <v>7800</v>
      </c>
      <c r="M197" s="12">
        <f t="shared" ref="M197:M198" si="296">+L197-K197</f>
        <v>-200</v>
      </c>
      <c r="N197" s="21">
        <f t="shared" si="273"/>
        <v>0.97499999999999998</v>
      </c>
      <c r="O197" s="56">
        <f>E197+P197+1+3</f>
        <v>46229.830729492147</v>
      </c>
      <c r="P197" s="25">
        <f t="shared" ref="P197:P198" si="297">+L197/Q197</f>
        <v>20.830729492146816</v>
      </c>
      <c r="Q197" s="51">
        <f t="shared" ref="Q197:Q198" si="298">630*40/60*0.975*0.9144</f>
        <v>374.4468</v>
      </c>
      <c r="R197" s="28"/>
      <c r="S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  <c r="FS197" s="28"/>
      <c r="FT197" s="28"/>
      <c r="FU197" s="28"/>
      <c r="FV197" s="28"/>
      <c r="FW197" s="28"/>
      <c r="FX197" s="28"/>
      <c r="FY197" s="28"/>
      <c r="FZ197" s="28"/>
      <c r="GA197" s="28"/>
      <c r="GB197" s="28"/>
      <c r="GC197" s="28"/>
      <c r="GD197" s="28"/>
      <c r="GE197" s="28"/>
      <c r="GF197" s="28"/>
      <c r="GG197" s="28"/>
      <c r="GH197" s="28"/>
      <c r="GI197" s="28"/>
      <c r="GJ197" s="28"/>
      <c r="GK197" s="28"/>
      <c r="GL197" s="28"/>
      <c r="GM197" s="28"/>
      <c r="GN197" s="28"/>
      <c r="GO197" s="28"/>
      <c r="GP197" s="28"/>
      <c r="GQ197" s="28"/>
      <c r="GR197" s="28"/>
      <c r="GS197" s="28"/>
      <c r="GT197" s="28"/>
      <c r="GU197" s="28"/>
      <c r="GV197" s="28"/>
      <c r="GW197" s="28"/>
      <c r="GX197" s="28"/>
      <c r="GY197" s="28"/>
      <c r="GZ197" s="28"/>
      <c r="HA197" s="28"/>
      <c r="HB197" s="28"/>
      <c r="HC197" s="28"/>
      <c r="HD197" s="28"/>
      <c r="HE197" s="28"/>
      <c r="HF197" s="28"/>
      <c r="HG197" s="28"/>
      <c r="HH197" s="28"/>
      <c r="HI197" s="28"/>
      <c r="HJ197" s="28"/>
      <c r="HK197" s="28"/>
      <c r="HL197" s="28"/>
      <c r="HM197" s="28"/>
      <c r="HN197" s="28"/>
      <c r="HO197" s="28"/>
      <c r="HP197" s="28"/>
      <c r="HQ197" s="28"/>
      <c r="HR197" s="28"/>
      <c r="HS197" s="28"/>
      <c r="HT197" s="28"/>
      <c r="HU197" s="28"/>
      <c r="HV197" s="28"/>
      <c r="HW197" s="28"/>
      <c r="HX197" s="28"/>
      <c r="HY197" s="28"/>
      <c r="HZ197" s="28"/>
      <c r="IA197" s="28"/>
      <c r="IB197" s="28"/>
      <c r="IC197" s="28"/>
      <c r="ID197" s="28"/>
      <c r="IE197" s="28"/>
      <c r="IF197" s="28"/>
      <c r="IG197" s="28"/>
      <c r="IH197" s="28"/>
      <c r="II197" s="28"/>
      <c r="IJ197" s="28"/>
      <c r="IK197" s="28"/>
      <c r="IL197" s="28"/>
      <c r="IM197" s="28"/>
      <c r="IN197" s="28"/>
      <c r="IO197" s="28"/>
      <c r="IP197" s="28"/>
      <c r="IQ197" s="28"/>
      <c r="IR197" s="28"/>
      <c r="IS197" s="28"/>
      <c r="IT197" s="28"/>
      <c r="IU197" s="28"/>
      <c r="IV197" s="28"/>
      <c r="IW197" s="28"/>
      <c r="IX197" s="28"/>
      <c r="IY197" s="28"/>
      <c r="IZ197" s="28"/>
      <c r="JA197" s="28"/>
      <c r="JB197" s="28"/>
      <c r="JC197" s="28"/>
      <c r="JD197" s="28"/>
      <c r="JE197" s="28"/>
      <c r="JF197" s="28"/>
      <c r="JG197" s="28"/>
      <c r="JH197" s="28"/>
      <c r="JI197" s="28"/>
      <c r="JJ197" s="28"/>
      <c r="JK197" s="28"/>
      <c r="JL197" s="28"/>
      <c r="JM197" s="28"/>
      <c r="JN197" s="28"/>
      <c r="JO197" s="28"/>
      <c r="JP197" s="28"/>
      <c r="JQ197" s="28"/>
      <c r="JR197" s="28"/>
      <c r="JS197" s="28"/>
      <c r="JT197" s="28"/>
      <c r="JU197" s="28"/>
      <c r="JV197" s="28"/>
      <c r="JW197" s="28"/>
      <c r="JX197" s="28"/>
      <c r="JY197" s="28"/>
      <c r="JZ197" s="28"/>
      <c r="KA197" s="28"/>
      <c r="KB197" s="28"/>
      <c r="KC197" s="28"/>
      <c r="KD197" s="28"/>
      <c r="KE197" s="28"/>
      <c r="KF197" s="28"/>
      <c r="KG197" s="28"/>
      <c r="KH197" s="28"/>
      <c r="KI197" s="28"/>
      <c r="KJ197" s="28"/>
      <c r="KK197" s="28"/>
      <c r="KL197" s="28"/>
      <c r="KM197" s="28"/>
      <c r="KN197" s="28"/>
      <c r="KO197" s="28"/>
      <c r="KP197" s="28"/>
      <c r="KQ197" s="28"/>
      <c r="KR197" s="28"/>
      <c r="KS197" s="28"/>
      <c r="KT197" s="28"/>
      <c r="KU197" s="28"/>
      <c r="KV197" s="28"/>
      <c r="KW197" s="28"/>
      <c r="KX197" s="28"/>
      <c r="KY197" s="28"/>
      <c r="KZ197" s="28"/>
      <c r="LA197" s="28"/>
      <c r="LB197" s="28"/>
      <c r="LC197" s="28"/>
      <c r="LD197" s="28"/>
      <c r="LE197" s="28"/>
      <c r="LF197" s="28"/>
      <c r="LG197" s="28"/>
      <c r="LH197" s="28"/>
      <c r="LI197" s="28"/>
      <c r="LJ197" s="28"/>
      <c r="LK197" s="28"/>
      <c r="LL197" s="28"/>
      <c r="LM197" s="28"/>
      <c r="LN197" s="28"/>
      <c r="LO197" s="28"/>
      <c r="LP197" s="28"/>
      <c r="LQ197" s="28"/>
      <c r="LR197" s="28"/>
      <c r="LS197" s="28"/>
      <c r="LT197" s="28"/>
      <c r="LU197" s="28"/>
      <c r="LV197" s="28"/>
      <c r="LW197" s="28"/>
      <c r="LX197" s="28"/>
      <c r="LY197" s="28"/>
      <c r="LZ197" s="28"/>
      <c r="MA197" s="28"/>
      <c r="MB197" s="28"/>
      <c r="MC197" s="28"/>
      <c r="MD197" s="28"/>
      <c r="ME197" s="28"/>
      <c r="MF197" s="28"/>
      <c r="MG197" s="28"/>
      <c r="MH197" s="28"/>
      <c r="MI197" s="28"/>
      <c r="MJ197" s="28"/>
      <c r="MK197" s="28"/>
      <c r="ML197" s="28"/>
      <c r="MM197" s="28"/>
      <c r="MN197" s="28"/>
      <c r="MO197" s="28"/>
      <c r="MP197" s="28"/>
      <c r="MQ197" s="28"/>
      <c r="MR197" s="28"/>
      <c r="MS197" s="28"/>
      <c r="MT197" s="28"/>
      <c r="MU197" s="28"/>
      <c r="MV197" s="28"/>
      <c r="MW197" s="28"/>
      <c r="MX197" s="28"/>
      <c r="MY197" s="28"/>
      <c r="MZ197" s="28"/>
      <c r="NA197" s="28"/>
      <c r="NB197" s="28"/>
      <c r="NC197" s="28"/>
      <c r="ND197" s="28"/>
      <c r="NE197" s="28"/>
      <c r="NF197" s="28"/>
      <c r="NG197" s="28"/>
      <c r="NH197" s="28"/>
      <c r="NI197" s="28"/>
      <c r="NJ197" s="28"/>
      <c r="NK197" s="28"/>
      <c r="NL197" s="28"/>
      <c r="NM197" s="28"/>
      <c r="NN197" s="28"/>
      <c r="NO197" s="28"/>
      <c r="NP197" s="28"/>
      <c r="NQ197" s="28"/>
      <c r="NR197" s="28"/>
      <c r="NS197" s="28"/>
      <c r="NT197" s="28"/>
      <c r="NU197" s="28"/>
      <c r="NV197" s="28"/>
      <c r="NW197" s="28"/>
      <c r="NX197" s="28"/>
      <c r="NY197" s="28"/>
      <c r="NZ197" s="28"/>
      <c r="OA197" s="28"/>
      <c r="OB197" s="28"/>
      <c r="OC197" s="28"/>
      <c r="OD197" s="28"/>
      <c r="OE197" s="28"/>
      <c r="OF197" s="28"/>
      <c r="OG197" s="28"/>
      <c r="OH197" s="28"/>
      <c r="OI197" s="28"/>
      <c r="OJ197" s="28"/>
      <c r="OK197" s="28"/>
      <c r="OL197" s="28"/>
      <c r="OM197" s="28"/>
      <c r="ON197" s="28"/>
      <c r="OO197" s="28"/>
      <c r="OP197" s="28"/>
      <c r="OQ197" s="28"/>
      <c r="OR197" s="28"/>
      <c r="OS197" s="28"/>
      <c r="OT197" s="28"/>
      <c r="OU197" s="28"/>
      <c r="OV197" s="28"/>
      <c r="OW197" s="28"/>
      <c r="OX197" s="28"/>
      <c r="OY197" s="28"/>
      <c r="OZ197" s="28"/>
      <c r="PA197" s="28"/>
      <c r="PB197" s="28"/>
      <c r="PC197" s="28"/>
      <c r="PD197" s="28"/>
      <c r="PE197" s="28"/>
      <c r="PF197" s="28"/>
      <c r="PG197" s="28"/>
      <c r="PH197" s="28"/>
      <c r="PI197" s="28"/>
      <c r="PJ197" s="28"/>
      <c r="PK197" s="28"/>
      <c r="PL197" s="28"/>
      <c r="PM197" s="28"/>
      <c r="PN197" s="28"/>
      <c r="PO197" s="28"/>
      <c r="PP197" s="28"/>
      <c r="PQ197" s="28"/>
      <c r="PR197" s="28"/>
      <c r="PS197" s="28"/>
      <c r="PT197" s="28"/>
      <c r="PU197" s="28"/>
      <c r="PV197" s="28"/>
      <c r="PW197" s="28"/>
      <c r="PX197" s="28"/>
      <c r="PY197" s="28"/>
      <c r="PZ197" s="28"/>
      <c r="QA197" s="28"/>
      <c r="QB197" s="28"/>
      <c r="QC197" s="28"/>
      <c r="QD197" s="28"/>
      <c r="QE197" s="28"/>
      <c r="QF197" s="28"/>
      <c r="QG197" s="28"/>
      <c r="QH197" s="28"/>
      <c r="QI197" s="28"/>
      <c r="QJ197" s="28"/>
      <c r="QK197" s="28"/>
      <c r="QL197" s="28"/>
      <c r="QM197" s="28"/>
      <c r="QN197" s="28"/>
      <c r="QO197" s="28"/>
      <c r="QP197" s="28"/>
      <c r="QQ197" s="28"/>
      <c r="QR197" s="28"/>
      <c r="QS197" s="28"/>
      <c r="QT197" s="28"/>
      <c r="QU197" s="28"/>
      <c r="QV197" s="28"/>
      <c r="QW197" s="28"/>
      <c r="QX197" s="28"/>
      <c r="QY197" s="28"/>
      <c r="QZ197" s="28"/>
      <c r="RA197" s="28"/>
      <c r="RB197" s="28"/>
      <c r="RC197" s="28"/>
      <c r="RD197" s="28"/>
      <c r="RE197" s="28"/>
      <c r="RF197" s="28"/>
      <c r="RG197" s="28"/>
      <c r="RH197" s="28"/>
      <c r="RI197" s="28"/>
      <c r="RJ197" s="28"/>
      <c r="RK197" s="28"/>
      <c r="RL197" s="28"/>
      <c r="RM197" s="28"/>
      <c r="RN197" s="28"/>
      <c r="RO197" s="28"/>
      <c r="RP197" s="28"/>
      <c r="RQ197" s="28"/>
      <c r="RR197" s="28"/>
      <c r="RS197" s="28"/>
      <c r="RT197" s="28"/>
      <c r="RU197" s="28"/>
      <c r="RV197" s="28"/>
      <c r="RW197" s="28"/>
      <c r="RX197" s="28"/>
      <c r="RY197" s="28"/>
      <c r="RZ197" s="28"/>
      <c r="SA197" s="28"/>
      <c r="SB197" s="28"/>
      <c r="SC197" s="28"/>
      <c r="SD197" s="28"/>
      <c r="SE197" s="28"/>
      <c r="SF197" s="28"/>
      <c r="SG197" s="28"/>
      <c r="SH197" s="28"/>
      <c r="SI197" s="28"/>
      <c r="SJ197" s="28"/>
      <c r="SK197" s="28"/>
      <c r="SL197" s="28"/>
      <c r="SM197" s="28"/>
      <c r="SN197" s="28"/>
      <c r="SO197" s="28"/>
      <c r="SP197" s="28"/>
      <c r="SQ197" s="28"/>
      <c r="SR197" s="28"/>
      <c r="SS197" s="28"/>
      <c r="ST197" s="28"/>
      <c r="SU197" s="28"/>
      <c r="SV197" s="28"/>
      <c r="SW197" s="28"/>
      <c r="SX197" s="28"/>
      <c r="SY197" s="28"/>
      <c r="SZ197" s="28"/>
      <c r="TA197" s="28"/>
      <c r="TB197" s="28"/>
      <c r="TC197" s="28"/>
      <c r="TD197" s="28"/>
      <c r="TE197" s="28"/>
      <c r="TF197" s="28"/>
      <c r="TG197" s="28"/>
      <c r="TH197" s="28"/>
      <c r="TI197" s="28"/>
      <c r="TJ197" s="28"/>
      <c r="TK197" s="28"/>
      <c r="TL197" s="28"/>
      <c r="TM197" s="28"/>
      <c r="TN197" s="28"/>
      <c r="TO197" s="28"/>
      <c r="TP197" s="28"/>
      <c r="TQ197" s="28"/>
      <c r="TR197" s="28"/>
      <c r="TS197" s="28"/>
      <c r="TT197" s="28"/>
      <c r="TU197" s="28"/>
      <c r="TV197" s="28"/>
      <c r="TW197" s="28"/>
      <c r="TX197" s="28"/>
      <c r="TY197" s="28"/>
      <c r="TZ197" s="28"/>
      <c r="UA197" s="28"/>
      <c r="UB197" s="28"/>
      <c r="UC197" s="28"/>
      <c r="UD197" s="28"/>
      <c r="UE197" s="28"/>
      <c r="UF197" s="28"/>
      <c r="UG197" s="28"/>
      <c r="UH197" s="28"/>
      <c r="UI197" s="28"/>
      <c r="UJ197" s="28"/>
      <c r="UK197" s="28"/>
      <c r="UL197" s="28"/>
      <c r="UM197" s="28"/>
      <c r="UN197" s="28"/>
      <c r="UO197" s="28"/>
      <c r="UP197" s="28"/>
      <c r="UQ197" s="28"/>
      <c r="UR197" s="28"/>
      <c r="US197" s="28"/>
      <c r="UT197" s="28"/>
      <c r="UU197" s="28"/>
      <c r="UV197" s="28"/>
      <c r="UW197" s="28"/>
      <c r="UX197" s="28"/>
      <c r="UY197" s="28"/>
      <c r="UZ197" s="28"/>
      <c r="VA197" s="28"/>
      <c r="VB197" s="28"/>
      <c r="VC197" s="28"/>
      <c r="VD197" s="28"/>
      <c r="VE197" s="28"/>
      <c r="VF197" s="28"/>
      <c r="VG197" s="28"/>
      <c r="VH197" s="28"/>
      <c r="VI197" s="28"/>
      <c r="VJ197" s="28"/>
      <c r="VK197" s="28"/>
      <c r="VL197" s="28"/>
      <c r="VM197" s="28"/>
      <c r="VN197" s="28"/>
      <c r="VO197" s="28"/>
      <c r="VP197" s="28"/>
      <c r="VQ197" s="28"/>
      <c r="VR197" s="28"/>
      <c r="VS197" s="28"/>
      <c r="VT197" s="28"/>
      <c r="VU197" s="28"/>
      <c r="VV197" s="28"/>
      <c r="VW197" s="28"/>
      <c r="VX197" s="28"/>
      <c r="VY197" s="28"/>
      <c r="VZ197" s="28"/>
      <c r="WA197" s="28"/>
      <c r="WB197" s="28"/>
      <c r="WC197" s="28"/>
      <c r="WD197" s="28"/>
      <c r="WE197" s="28"/>
      <c r="WF197" s="28"/>
      <c r="WG197" s="28"/>
      <c r="WH197" s="28"/>
      <c r="WI197" s="28"/>
      <c r="WJ197" s="28"/>
      <c r="WK197" s="28"/>
      <c r="WL197" s="28"/>
      <c r="WM197" s="28"/>
      <c r="WN197" s="28"/>
      <c r="WO197" s="28"/>
      <c r="WP197" s="28"/>
      <c r="WQ197" s="28"/>
      <c r="WR197" s="28"/>
      <c r="WS197" s="28"/>
      <c r="WT197" s="28"/>
      <c r="WU197" s="28"/>
      <c r="WV197" s="28"/>
      <c r="WW197" s="28"/>
      <c r="WX197" s="28"/>
      <c r="WY197" s="28"/>
      <c r="WZ197" s="28"/>
      <c r="XA197" s="28"/>
      <c r="XB197" s="28"/>
      <c r="XC197" s="28"/>
      <c r="XD197" s="28"/>
      <c r="XE197" s="28"/>
      <c r="XF197" s="28"/>
      <c r="XG197" s="28"/>
      <c r="XH197" s="28"/>
      <c r="XI197" s="28"/>
      <c r="XJ197" s="28"/>
      <c r="XK197" s="28"/>
      <c r="XL197" s="28"/>
      <c r="XM197" s="28"/>
      <c r="XN197" s="28"/>
      <c r="XO197" s="28"/>
      <c r="XP197" s="28"/>
      <c r="XQ197" s="28"/>
      <c r="XR197" s="28"/>
      <c r="XS197" s="28"/>
      <c r="XT197" s="28"/>
      <c r="XU197" s="28"/>
      <c r="XV197" s="28"/>
      <c r="XW197" s="28"/>
      <c r="XX197" s="28"/>
      <c r="XY197" s="28"/>
      <c r="XZ197" s="28"/>
      <c r="YA197" s="28"/>
      <c r="YB197" s="28"/>
      <c r="YC197" s="28"/>
      <c r="YD197" s="28"/>
      <c r="YE197" s="28"/>
      <c r="YF197" s="28"/>
      <c r="YG197" s="28"/>
      <c r="YH197" s="28"/>
      <c r="YI197" s="28"/>
      <c r="YJ197" s="28"/>
      <c r="YK197" s="28"/>
      <c r="YL197" s="28"/>
      <c r="YM197" s="28"/>
      <c r="YN197" s="28"/>
      <c r="YO197" s="28"/>
      <c r="YP197" s="28"/>
      <c r="YQ197" s="28"/>
      <c r="YR197" s="28"/>
      <c r="YS197" s="28"/>
      <c r="YT197" s="28"/>
      <c r="YU197" s="28"/>
      <c r="YV197" s="28"/>
      <c r="YW197" s="28"/>
      <c r="YX197" s="28"/>
      <c r="YY197" s="28"/>
      <c r="YZ197" s="28"/>
      <c r="ZA197" s="28"/>
      <c r="ZB197" s="28"/>
      <c r="ZC197" s="28"/>
      <c r="ZD197" s="28"/>
      <c r="ZE197" s="28"/>
      <c r="ZF197" s="28"/>
      <c r="ZG197" s="28"/>
      <c r="ZH197" s="28"/>
      <c r="ZI197" s="28"/>
      <c r="ZJ197" s="28"/>
      <c r="ZK197" s="28"/>
      <c r="ZL197" s="28"/>
      <c r="ZM197" s="28"/>
      <c r="ZN197" s="28"/>
      <c r="ZO197" s="28"/>
      <c r="ZP197" s="28"/>
      <c r="ZQ197" s="28"/>
      <c r="ZR197" s="28"/>
      <c r="ZS197" s="28"/>
      <c r="ZT197" s="28"/>
      <c r="ZU197" s="28"/>
      <c r="ZV197" s="28"/>
      <c r="ZW197" s="28"/>
      <c r="ZX197" s="28"/>
      <c r="ZY197" s="28"/>
      <c r="ZZ197" s="28"/>
      <c r="AAA197" s="28"/>
      <c r="AAB197" s="28"/>
      <c r="AAC197" s="28"/>
      <c r="AAD197" s="28"/>
      <c r="AAE197" s="28"/>
      <c r="AAF197" s="28"/>
      <c r="AAG197" s="28"/>
      <c r="AAH197" s="28"/>
      <c r="AAI197" s="28"/>
      <c r="AAJ197" s="28"/>
      <c r="AAK197" s="28"/>
      <c r="AAL197" s="28"/>
      <c r="AAM197" s="28"/>
      <c r="AAN197" s="28"/>
      <c r="AAO197" s="28"/>
      <c r="AAP197" s="28"/>
      <c r="AAQ197" s="28"/>
      <c r="AAR197" s="28"/>
      <c r="AAS197" s="28"/>
      <c r="AAT197" s="28"/>
      <c r="AAU197" s="28"/>
      <c r="AAV197" s="28"/>
      <c r="AAW197" s="28"/>
      <c r="AAX197" s="28"/>
      <c r="AAY197" s="28"/>
      <c r="AAZ197" s="28"/>
      <c r="ABA197" s="28"/>
      <c r="ABB197" s="28"/>
      <c r="ABC197" s="28"/>
      <c r="ABD197" s="28"/>
      <c r="ABE197" s="28"/>
      <c r="ABF197" s="28"/>
      <c r="ABG197" s="28"/>
      <c r="ABH197" s="28"/>
      <c r="ABI197" s="28"/>
      <c r="ABJ197" s="28"/>
      <c r="ABK197" s="28"/>
      <c r="ABL197" s="28"/>
      <c r="ABM197" s="28"/>
      <c r="ABN197" s="28"/>
      <c r="ABO197" s="28"/>
      <c r="ABP197" s="28"/>
      <c r="ABQ197" s="28"/>
      <c r="ABR197" s="28"/>
      <c r="ABS197" s="28"/>
      <c r="ABT197" s="28"/>
      <c r="ABU197" s="28"/>
      <c r="ABV197" s="28"/>
      <c r="ABW197" s="28"/>
      <c r="ABX197" s="28"/>
      <c r="ABY197" s="28"/>
      <c r="ABZ197" s="28"/>
      <c r="ACA197" s="28"/>
      <c r="ACB197" s="28"/>
      <c r="ACC197" s="28"/>
      <c r="ACD197" s="28"/>
      <c r="ACE197" s="28"/>
      <c r="ACF197" s="28"/>
      <c r="ACG197" s="28"/>
      <c r="ACH197" s="28"/>
      <c r="ACI197" s="28"/>
      <c r="ACJ197" s="28"/>
      <c r="ACK197" s="28"/>
      <c r="ACL197" s="28"/>
      <c r="ACM197" s="28"/>
      <c r="ACN197" s="28"/>
      <c r="ACO197" s="28"/>
      <c r="ACP197" s="28"/>
      <c r="ACQ197" s="28"/>
      <c r="ACR197" s="28"/>
      <c r="ACS197" s="28"/>
      <c r="ACT197" s="28"/>
      <c r="ACU197" s="28"/>
      <c r="ACV197" s="28"/>
      <c r="ACW197" s="28"/>
      <c r="ACX197" s="28"/>
      <c r="ACY197" s="28"/>
      <c r="ACZ197" s="28"/>
      <c r="ADA197" s="28"/>
      <c r="ADB197" s="28"/>
      <c r="ADC197" s="28"/>
      <c r="ADD197" s="28"/>
      <c r="ADE197" s="28"/>
      <c r="ADF197" s="28"/>
      <c r="ADG197" s="28"/>
      <c r="ADH197" s="28"/>
      <c r="ADI197" s="28"/>
      <c r="ADJ197" s="28"/>
      <c r="ADK197" s="28"/>
      <c r="ADL197" s="28"/>
      <c r="ADM197" s="28"/>
      <c r="ADN197" s="28"/>
      <c r="ADO197" s="28"/>
      <c r="ADP197" s="28"/>
      <c r="ADQ197" s="28"/>
      <c r="ADR197" s="28"/>
      <c r="ADS197" s="28"/>
      <c r="ADT197" s="28"/>
      <c r="ADU197" s="28"/>
      <c r="ADV197" s="28"/>
      <c r="ADW197" s="28"/>
      <c r="ADX197" s="28"/>
      <c r="ADY197" s="28"/>
      <c r="ADZ197" s="28"/>
      <c r="AEA197" s="28"/>
      <c r="AEB197" s="28"/>
      <c r="AEC197" s="28"/>
      <c r="AED197" s="28"/>
      <c r="AEE197" s="28"/>
      <c r="AEF197" s="28"/>
      <c r="AEG197" s="28"/>
      <c r="AEH197" s="28"/>
      <c r="AEI197" s="28"/>
      <c r="AEJ197" s="28"/>
      <c r="AEK197" s="28"/>
      <c r="AEL197" s="28"/>
      <c r="AEM197" s="28"/>
      <c r="AEN197" s="28"/>
      <c r="AEO197" s="28"/>
      <c r="AEP197" s="28"/>
      <c r="AEQ197" s="28"/>
      <c r="AER197" s="28"/>
      <c r="AES197" s="28"/>
      <c r="AET197" s="28"/>
      <c r="AEU197" s="28"/>
      <c r="AEV197" s="28"/>
      <c r="AEW197" s="28"/>
      <c r="AEX197" s="28"/>
      <c r="AEY197" s="28"/>
      <c r="AEZ197" s="28"/>
      <c r="AFA197" s="28"/>
      <c r="AFB197" s="28"/>
      <c r="AFC197" s="28"/>
      <c r="AFD197" s="28"/>
      <c r="AFE197" s="28"/>
      <c r="AFF197" s="28"/>
      <c r="AFG197" s="28"/>
      <c r="AFH197" s="28"/>
      <c r="AFI197" s="28"/>
      <c r="AFJ197" s="28"/>
      <c r="AFK197" s="28"/>
      <c r="AFL197" s="28"/>
      <c r="AFM197" s="28"/>
      <c r="AFN197" s="28"/>
      <c r="AFO197" s="28"/>
      <c r="AFP197" s="28"/>
      <c r="AFQ197" s="28"/>
      <c r="AFR197" s="28"/>
      <c r="AFS197" s="28"/>
      <c r="AFT197" s="28"/>
      <c r="AFU197" s="28"/>
      <c r="AFV197" s="28"/>
      <c r="AFW197" s="28"/>
      <c r="AFX197" s="28"/>
      <c r="AFY197" s="28"/>
      <c r="AFZ197" s="28"/>
      <c r="AGA197" s="28"/>
      <c r="AGB197" s="28"/>
      <c r="AGC197" s="28"/>
      <c r="AGD197" s="28"/>
      <c r="AGE197" s="28"/>
      <c r="AGF197" s="28"/>
      <c r="AGG197" s="28"/>
      <c r="AGH197" s="28"/>
      <c r="AGI197" s="28"/>
      <c r="AGJ197" s="28"/>
      <c r="AGK197" s="28"/>
      <c r="AGL197" s="28"/>
      <c r="AGM197" s="28"/>
      <c r="AGN197" s="28"/>
      <c r="AGO197" s="28"/>
      <c r="AGP197" s="28"/>
      <c r="AGQ197" s="28"/>
      <c r="AGR197" s="28"/>
      <c r="AGS197" s="28"/>
      <c r="AGT197" s="28"/>
      <c r="AGU197" s="28"/>
      <c r="AGV197" s="28"/>
      <c r="AGW197" s="28"/>
      <c r="AGX197" s="28"/>
      <c r="AGY197" s="28"/>
      <c r="AGZ197" s="28"/>
      <c r="AHA197" s="28"/>
      <c r="AHB197" s="28"/>
      <c r="AHC197" s="28"/>
      <c r="AHD197" s="28"/>
      <c r="AHE197" s="28"/>
      <c r="AHF197" s="28"/>
      <c r="AHG197" s="28"/>
      <c r="AHH197" s="28"/>
      <c r="AHI197" s="28"/>
      <c r="AHJ197" s="28"/>
      <c r="AHK197" s="28"/>
      <c r="AHL197" s="28"/>
      <c r="AHM197" s="28"/>
      <c r="AHN197" s="28"/>
      <c r="AHO197" s="28"/>
      <c r="AHP197" s="28"/>
      <c r="AHQ197" s="28"/>
      <c r="AHR197" s="28"/>
      <c r="AHS197" s="28"/>
      <c r="AHT197" s="28"/>
      <c r="AHU197" s="28"/>
      <c r="AHV197" s="28"/>
      <c r="AHW197" s="28"/>
      <c r="AHX197" s="28"/>
      <c r="AHY197" s="28"/>
      <c r="AHZ197" s="28"/>
      <c r="AIA197" s="28"/>
      <c r="AIB197" s="28"/>
      <c r="AIC197" s="28"/>
      <c r="AID197" s="28"/>
      <c r="AIE197" s="28"/>
      <c r="AIF197" s="28"/>
      <c r="AIG197" s="28"/>
      <c r="AIH197" s="28"/>
      <c r="AII197" s="28"/>
      <c r="AIJ197" s="28"/>
      <c r="AIK197" s="28"/>
      <c r="AIL197" s="28"/>
      <c r="AIM197" s="28"/>
      <c r="AIN197" s="28"/>
      <c r="AIO197" s="28"/>
      <c r="AIP197" s="28"/>
      <c r="AIQ197" s="28"/>
      <c r="AIR197" s="28"/>
      <c r="AIS197" s="28"/>
      <c r="AIT197" s="28"/>
      <c r="AIU197" s="28"/>
      <c r="AIV197" s="28"/>
      <c r="AIW197" s="28"/>
      <c r="AIX197" s="28"/>
      <c r="AIY197" s="28"/>
      <c r="AIZ197" s="28"/>
      <c r="AJA197" s="28"/>
      <c r="AJB197" s="28"/>
      <c r="AJC197" s="28"/>
      <c r="AJD197" s="28"/>
      <c r="AJE197" s="28"/>
      <c r="AJF197" s="28"/>
      <c r="AJG197" s="28"/>
      <c r="AJH197" s="28"/>
      <c r="AJI197" s="28"/>
      <c r="AJJ197" s="28"/>
      <c r="AJK197" s="28"/>
      <c r="AJL197" s="28"/>
      <c r="AJM197" s="28"/>
      <c r="AJN197" s="28"/>
      <c r="AJO197" s="28"/>
      <c r="AJP197" s="28"/>
      <c r="AJQ197" s="28"/>
      <c r="AJR197" s="28"/>
      <c r="AJS197" s="28"/>
      <c r="AJT197" s="28"/>
      <c r="AJU197" s="28"/>
      <c r="AJV197" s="28"/>
      <c r="AJW197" s="28"/>
      <c r="AJX197" s="28"/>
      <c r="AJY197" s="28"/>
      <c r="AJZ197" s="28"/>
      <c r="AKA197" s="28"/>
      <c r="AKB197" s="28"/>
      <c r="AKC197" s="28"/>
      <c r="AKD197" s="28"/>
      <c r="AKE197" s="28"/>
      <c r="AKF197" s="28"/>
      <c r="AKG197" s="28"/>
      <c r="AKH197" s="28"/>
      <c r="AKI197" s="28"/>
      <c r="AKJ197" s="28"/>
      <c r="AKK197" s="28"/>
      <c r="AKL197" s="28"/>
      <c r="AKM197" s="28"/>
      <c r="AKN197" s="28"/>
      <c r="AKO197" s="28"/>
      <c r="AKP197" s="28"/>
      <c r="AKQ197" s="28"/>
      <c r="AKR197" s="28"/>
      <c r="AKS197" s="28"/>
      <c r="AKT197" s="28"/>
      <c r="AKU197" s="28"/>
      <c r="AKV197" s="28"/>
      <c r="AKW197" s="28"/>
      <c r="AKX197" s="28"/>
      <c r="AKY197" s="28"/>
      <c r="AKZ197" s="28"/>
      <c r="ALA197" s="28"/>
      <c r="ALB197" s="28"/>
      <c r="ALC197" s="28"/>
      <c r="ALD197" s="28"/>
      <c r="ALE197" s="28"/>
      <c r="ALF197" s="28"/>
      <c r="ALG197" s="28"/>
      <c r="ALH197" s="28"/>
      <c r="ALI197" s="28"/>
      <c r="ALJ197" s="28"/>
      <c r="ALK197" s="28"/>
      <c r="ALL197" s="28"/>
      <c r="ALM197" s="28"/>
      <c r="ALN197" s="28"/>
      <c r="ALO197" s="28"/>
      <c r="ALP197" s="28"/>
      <c r="ALQ197" s="28"/>
      <c r="ALR197" s="28"/>
      <c r="ALS197" s="28"/>
      <c r="ALT197" s="28"/>
      <c r="ALU197" s="28"/>
      <c r="ALV197" s="28"/>
      <c r="ALW197" s="28"/>
      <c r="ALX197" s="28"/>
      <c r="ALY197" s="28"/>
      <c r="ALZ197" s="28"/>
      <c r="AMA197" s="28"/>
      <c r="AMB197" s="28"/>
      <c r="AMC197" s="28"/>
      <c r="AMD197" s="28"/>
      <c r="AME197" s="28"/>
      <c r="AMF197" s="28"/>
      <c r="AMG197" s="28"/>
      <c r="AMH197" s="28"/>
      <c r="AMI197" s="28"/>
      <c r="AMJ197" s="28"/>
      <c r="AMK197" s="28"/>
      <c r="AML197" s="28"/>
      <c r="AMM197" s="28"/>
      <c r="AMN197" s="28"/>
      <c r="AMO197" s="28"/>
      <c r="AMP197" s="28"/>
      <c r="AMQ197" s="28"/>
      <c r="AMR197" s="28"/>
      <c r="AMS197" s="28"/>
      <c r="AMT197" s="28"/>
      <c r="AMU197" s="28"/>
      <c r="AMV197" s="28"/>
      <c r="AMW197" s="28"/>
      <c r="AMX197" s="28"/>
      <c r="AMY197" s="28"/>
      <c r="AMZ197" s="28"/>
      <c r="ANA197" s="28"/>
      <c r="ANB197" s="28"/>
      <c r="ANC197" s="28"/>
      <c r="AND197" s="28"/>
      <c r="ANE197" s="28"/>
      <c r="ANF197" s="28"/>
      <c r="ANG197" s="28"/>
      <c r="ANH197" s="28"/>
      <c r="ANI197" s="28"/>
      <c r="ANJ197" s="28"/>
      <c r="ANK197" s="28"/>
      <c r="ANL197" s="28"/>
      <c r="ANM197" s="28"/>
      <c r="ANN197" s="28"/>
      <c r="ANO197" s="28"/>
      <c r="ANP197" s="28"/>
      <c r="ANQ197" s="28"/>
      <c r="ANR197" s="28"/>
      <c r="ANS197" s="28"/>
      <c r="ANT197" s="28"/>
      <c r="ANU197" s="28"/>
      <c r="ANV197" s="28"/>
      <c r="ANW197" s="28"/>
      <c r="ANX197" s="28"/>
      <c r="ANY197" s="28"/>
      <c r="ANZ197" s="28"/>
      <c r="AOA197" s="28"/>
      <c r="AOB197" s="28"/>
      <c r="AOC197" s="28"/>
      <c r="AOD197" s="28"/>
      <c r="AOE197" s="28"/>
      <c r="AOF197" s="28"/>
      <c r="AOG197" s="28"/>
      <c r="AOH197" s="28"/>
      <c r="AOI197" s="28"/>
      <c r="AOJ197" s="28"/>
      <c r="AOK197" s="28"/>
      <c r="AOL197" s="28"/>
      <c r="AOM197" s="28"/>
      <c r="AON197" s="28"/>
      <c r="AOO197" s="28"/>
      <c r="AOP197" s="28"/>
      <c r="AOQ197" s="28"/>
      <c r="AOR197" s="28"/>
      <c r="AOS197" s="28"/>
      <c r="AOT197" s="28"/>
      <c r="AOU197" s="28"/>
      <c r="AOV197" s="28"/>
      <c r="AOW197" s="28"/>
      <c r="AOX197" s="28"/>
      <c r="AOY197" s="28"/>
      <c r="AOZ197" s="28"/>
      <c r="APA197" s="28"/>
      <c r="APB197" s="28"/>
      <c r="APC197" s="28"/>
      <c r="APD197" s="28"/>
      <c r="APE197" s="28"/>
      <c r="APF197" s="28"/>
      <c r="APG197" s="28"/>
      <c r="APH197" s="28"/>
      <c r="API197" s="28"/>
      <c r="APJ197" s="28"/>
      <c r="APK197" s="28"/>
      <c r="APL197" s="28"/>
      <c r="APM197" s="28"/>
      <c r="APN197" s="28"/>
      <c r="APO197" s="28"/>
      <c r="APP197" s="28"/>
      <c r="APQ197" s="28"/>
      <c r="APR197" s="28"/>
      <c r="APS197" s="28"/>
      <c r="APT197" s="28"/>
      <c r="APU197" s="28"/>
      <c r="APV197" s="28"/>
      <c r="APW197" s="28"/>
      <c r="APX197" s="28"/>
      <c r="APY197" s="28"/>
      <c r="APZ197" s="28"/>
      <c r="AQA197" s="28"/>
      <c r="AQB197" s="28"/>
      <c r="AQC197" s="28"/>
      <c r="AQD197" s="28"/>
      <c r="AQE197" s="28"/>
      <c r="AQF197" s="28"/>
      <c r="AQG197" s="28"/>
      <c r="AQH197" s="28"/>
      <c r="AQI197" s="28"/>
      <c r="AQJ197" s="28"/>
      <c r="AQK197" s="28"/>
      <c r="AQL197" s="28"/>
      <c r="AQM197" s="28"/>
      <c r="AQN197" s="28"/>
      <c r="AQO197" s="28"/>
      <c r="AQP197" s="28"/>
      <c r="AQQ197" s="28"/>
      <c r="AQR197" s="28"/>
      <c r="AQS197" s="28"/>
      <c r="AQT197" s="28"/>
      <c r="AQU197" s="28"/>
      <c r="AQV197" s="28"/>
      <c r="AQW197" s="28"/>
      <c r="AQX197" s="28"/>
      <c r="AQY197" s="28"/>
      <c r="AQZ197" s="28"/>
      <c r="ARA197" s="28"/>
      <c r="ARB197" s="28"/>
      <c r="ARC197" s="28"/>
      <c r="ARD197" s="28"/>
      <c r="ARE197" s="28"/>
      <c r="ARF197" s="28"/>
      <c r="ARG197" s="28"/>
      <c r="ARH197" s="28"/>
      <c r="ARI197" s="28"/>
      <c r="ARJ197" s="28"/>
      <c r="ARK197" s="28"/>
      <c r="ARL197" s="28"/>
      <c r="ARM197" s="28"/>
      <c r="ARN197" s="28"/>
      <c r="ARO197" s="28"/>
      <c r="ARP197" s="28"/>
      <c r="ARQ197" s="28"/>
      <c r="ARR197" s="28"/>
      <c r="ARS197" s="28"/>
      <c r="ART197" s="28"/>
      <c r="ARU197" s="28"/>
      <c r="ARV197" s="28"/>
      <c r="ARW197" s="28"/>
      <c r="ARX197" s="28"/>
      <c r="ARY197" s="28"/>
      <c r="ARZ197" s="28"/>
      <c r="ASA197" s="28"/>
      <c r="ASB197" s="28"/>
      <c r="ASC197" s="28"/>
      <c r="ASD197" s="28"/>
      <c r="ASE197" s="28"/>
      <c r="ASF197" s="28"/>
      <c r="ASG197" s="28"/>
      <c r="ASH197" s="28"/>
      <c r="ASI197" s="28"/>
      <c r="ASJ197" s="28"/>
      <c r="ASK197" s="28"/>
      <c r="ASL197" s="28"/>
      <c r="ASM197" s="28"/>
      <c r="ASN197" s="28"/>
      <c r="ASO197" s="28"/>
      <c r="ASP197" s="28"/>
      <c r="ASQ197" s="28"/>
      <c r="ASR197" s="28"/>
      <c r="ASS197" s="28"/>
      <c r="AST197" s="28"/>
      <c r="ASU197" s="28"/>
      <c r="ASV197" s="28"/>
      <c r="ASW197" s="28"/>
      <c r="ASX197" s="28"/>
      <c r="ASY197" s="28"/>
      <c r="ASZ197" s="28"/>
      <c r="ATA197" s="28"/>
      <c r="ATB197" s="28"/>
      <c r="ATC197" s="28"/>
      <c r="ATD197" s="28"/>
      <c r="ATE197" s="28"/>
      <c r="ATF197" s="28"/>
      <c r="ATG197" s="28"/>
      <c r="ATH197" s="28"/>
      <c r="ATI197" s="28"/>
      <c r="ATJ197" s="28"/>
      <c r="ATK197" s="28"/>
      <c r="ATL197" s="28"/>
      <c r="ATM197" s="28"/>
      <c r="ATN197" s="28"/>
      <c r="ATO197" s="28"/>
      <c r="ATP197" s="28"/>
      <c r="ATQ197" s="28"/>
      <c r="ATR197" s="28"/>
      <c r="ATS197" s="28"/>
      <c r="ATT197" s="28"/>
      <c r="ATU197" s="28"/>
      <c r="ATV197" s="28"/>
      <c r="ATW197" s="28"/>
      <c r="ATX197" s="28"/>
      <c r="ATY197" s="28"/>
      <c r="ATZ197" s="28"/>
      <c r="AUA197" s="28"/>
      <c r="AUB197" s="28"/>
      <c r="AUC197" s="28"/>
      <c r="AUD197" s="28"/>
      <c r="AUE197" s="28"/>
      <c r="AUF197" s="28"/>
      <c r="AUG197" s="28"/>
      <c r="AUH197" s="28"/>
      <c r="AUI197" s="28"/>
      <c r="AUJ197" s="28"/>
      <c r="AUK197" s="28"/>
      <c r="AUL197" s="28"/>
      <c r="AUM197" s="28"/>
      <c r="AUN197" s="28"/>
      <c r="AUO197" s="28"/>
      <c r="AUP197" s="28"/>
      <c r="AUQ197" s="28"/>
      <c r="AUR197" s="28"/>
      <c r="AUS197" s="28"/>
      <c r="AUT197" s="28"/>
      <c r="AUU197" s="28"/>
      <c r="AUV197" s="28"/>
      <c r="AUW197" s="28"/>
      <c r="AUX197" s="28"/>
      <c r="AUY197" s="28"/>
      <c r="AUZ197" s="28"/>
      <c r="AVA197" s="28"/>
      <c r="AVB197" s="28"/>
      <c r="AVC197" s="28"/>
      <c r="AVD197" s="28"/>
      <c r="AVE197" s="28"/>
      <c r="AVF197" s="28"/>
      <c r="AVG197" s="28"/>
      <c r="AVH197" s="28"/>
      <c r="AVI197" s="28"/>
      <c r="AVJ197" s="28"/>
      <c r="AVK197" s="28"/>
      <c r="AVL197" s="28"/>
      <c r="AVM197" s="28"/>
      <c r="AVN197" s="28"/>
      <c r="AVO197" s="28"/>
      <c r="AVP197" s="28"/>
      <c r="AVQ197" s="28"/>
      <c r="AVR197" s="28"/>
      <c r="AVS197" s="28"/>
      <c r="AVT197" s="28"/>
      <c r="AVU197" s="28"/>
      <c r="AVV197" s="28"/>
      <c r="AVW197" s="28"/>
      <c r="AVX197" s="28"/>
      <c r="AVY197" s="28"/>
      <c r="AVZ197" s="28"/>
      <c r="AWA197" s="28"/>
      <c r="AWB197" s="28"/>
      <c r="AWC197" s="28"/>
      <c r="AWD197" s="28"/>
      <c r="AWE197" s="28"/>
      <c r="AWF197" s="28"/>
      <c r="AWG197" s="28"/>
      <c r="AWH197" s="28"/>
      <c r="AWI197" s="28"/>
      <c r="AWJ197" s="28"/>
      <c r="AWK197" s="28"/>
      <c r="AWL197" s="28"/>
      <c r="AWM197" s="28"/>
      <c r="AWN197" s="28"/>
      <c r="AWO197" s="28"/>
      <c r="AWP197" s="28"/>
      <c r="AWQ197" s="28"/>
      <c r="AWR197" s="28"/>
      <c r="AWS197" s="28"/>
      <c r="AWT197" s="28"/>
      <c r="AWU197" s="28"/>
      <c r="AWV197" s="28"/>
      <c r="AWW197" s="28"/>
      <c r="AWX197" s="28"/>
      <c r="AWY197" s="28"/>
      <c r="AWZ197" s="28"/>
      <c r="AXA197" s="28"/>
      <c r="AXB197" s="28"/>
      <c r="AXC197" s="28"/>
      <c r="AXD197" s="28"/>
      <c r="AXE197" s="28"/>
      <c r="AXF197" s="28"/>
      <c r="AXG197" s="28"/>
      <c r="AXH197" s="28"/>
      <c r="AXI197" s="28"/>
      <c r="AXJ197" s="28"/>
      <c r="AXK197" s="28"/>
      <c r="AXL197" s="28"/>
      <c r="AXM197" s="28"/>
      <c r="AXN197" s="28"/>
      <c r="AXO197" s="28"/>
      <c r="AXP197" s="28"/>
      <c r="AXQ197" s="28"/>
      <c r="AXR197" s="28"/>
      <c r="AXS197" s="28"/>
      <c r="AXT197" s="28"/>
      <c r="AXU197" s="28"/>
      <c r="AXV197" s="28"/>
      <c r="AXW197" s="28"/>
      <c r="AXX197" s="28"/>
      <c r="AXY197" s="28"/>
      <c r="AXZ197" s="28"/>
      <c r="AYA197" s="28"/>
      <c r="AYB197" s="28"/>
      <c r="AYC197" s="28"/>
      <c r="AYD197" s="28"/>
      <c r="AYE197" s="28"/>
      <c r="AYF197" s="28"/>
      <c r="AYG197" s="28"/>
      <c r="AYH197" s="28"/>
      <c r="AYI197" s="28"/>
      <c r="AYJ197" s="28"/>
      <c r="AYK197" s="28"/>
      <c r="AYL197" s="28"/>
      <c r="AYM197" s="28"/>
      <c r="AYN197" s="28"/>
      <c r="AYO197" s="28"/>
      <c r="AYP197" s="28"/>
      <c r="AYQ197" s="28"/>
      <c r="AYR197" s="28"/>
      <c r="AYS197" s="28"/>
      <c r="AYT197" s="28"/>
      <c r="AYU197" s="28"/>
      <c r="AYV197" s="28"/>
      <c r="AYW197" s="28"/>
      <c r="AYX197" s="28"/>
      <c r="AYY197" s="28"/>
      <c r="AYZ197" s="28"/>
      <c r="AZA197" s="28"/>
      <c r="AZB197" s="28"/>
      <c r="AZC197" s="28"/>
      <c r="AZD197" s="28"/>
      <c r="AZE197" s="28"/>
      <c r="AZF197" s="28"/>
      <c r="AZG197" s="28"/>
      <c r="AZH197" s="28"/>
      <c r="AZI197" s="28"/>
      <c r="AZJ197" s="28"/>
      <c r="AZK197" s="28"/>
      <c r="AZL197" s="28"/>
      <c r="AZM197" s="28"/>
      <c r="AZN197" s="28"/>
      <c r="AZO197" s="28"/>
      <c r="AZP197" s="28"/>
      <c r="AZQ197" s="28"/>
      <c r="AZR197" s="28"/>
      <c r="AZS197" s="28"/>
      <c r="AZT197" s="28"/>
      <c r="AZU197" s="28"/>
      <c r="AZV197" s="28"/>
      <c r="AZW197" s="28"/>
      <c r="AZX197" s="28"/>
      <c r="AZY197" s="28"/>
      <c r="AZZ197" s="28"/>
      <c r="BAA197" s="28"/>
      <c r="BAB197" s="28"/>
      <c r="BAC197" s="28"/>
      <c r="BAD197" s="28"/>
      <c r="BAE197" s="28"/>
      <c r="BAF197" s="28"/>
      <c r="BAG197" s="28"/>
      <c r="BAH197" s="28"/>
      <c r="BAI197" s="28"/>
      <c r="BAJ197" s="28"/>
      <c r="BAK197" s="28"/>
      <c r="BAL197" s="28"/>
      <c r="BAM197" s="28"/>
      <c r="BAN197" s="28"/>
      <c r="BAO197" s="28"/>
      <c r="BAP197" s="28"/>
      <c r="BAQ197" s="28"/>
      <c r="BAR197" s="28"/>
      <c r="BAS197" s="28"/>
      <c r="BAT197" s="28"/>
      <c r="BAU197" s="28"/>
      <c r="BAV197" s="28"/>
      <c r="BAW197" s="28"/>
      <c r="BAX197" s="28"/>
      <c r="BAY197" s="28"/>
      <c r="BAZ197" s="28"/>
      <c r="BBA197" s="28"/>
      <c r="BBB197" s="28"/>
      <c r="BBC197" s="28"/>
      <c r="BBD197" s="28"/>
      <c r="BBE197" s="28"/>
      <c r="BBF197" s="28"/>
      <c r="BBG197" s="28"/>
      <c r="BBH197" s="28"/>
      <c r="BBI197" s="28"/>
      <c r="BBJ197" s="28"/>
      <c r="BBK197" s="28"/>
      <c r="BBL197" s="28"/>
      <c r="BBM197" s="28"/>
      <c r="BBN197" s="28"/>
      <c r="BBO197" s="28"/>
      <c r="BBP197" s="28"/>
      <c r="BBQ197" s="28"/>
      <c r="BBR197" s="28"/>
      <c r="BBS197" s="28"/>
      <c r="BBT197" s="28"/>
      <c r="BBU197" s="28"/>
      <c r="BBV197" s="28"/>
      <c r="BBW197" s="28"/>
      <c r="BBX197" s="28"/>
      <c r="BBY197" s="28"/>
      <c r="BBZ197" s="28"/>
      <c r="BCA197" s="28"/>
      <c r="BCB197" s="28"/>
      <c r="BCC197" s="28"/>
      <c r="BCD197" s="28"/>
      <c r="BCE197" s="28"/>
      <c r="BCF197" s="28"/>
      <c r="BCG197" s="28"/>
      <c r="BCH197" s="28"/>
      <c r="BCI197" s="28"/>
      <c r="BCJ197" s="28"/>
      <c r="BCK197" s="28"/>
      <c r="BCL197" s="28"/>
      <c r="BCM197" s="28"/>
      <c r="BCN197" s="28"/>
      <c r="BCO197" s="28"/>
      <c r="BCP197" s="28"/>
      <c r="BCQ197" s="28"/>
      <c r="BCR197" s="28"/>
      <c r="BCS197" s="28"/>
      <c r="BCT197" s="28"/>
      <c r="BCU197" s="28"/>
      <c r="BCV197" s="28"/>
      <c r="BCW197" s="28"/>
      <c r="BCX197" s="28"/>
      <c r="BCY197" s="28"/>
      <c r="BCZ197" s="28"/>
      <c r="BDA197" s="28"/>
      <c r="BDB197" s="28"/>
      <c r="BDC197" s="28"/>
      <c r="BDD197" s="28"/>
      <c r="BDE197" s="28"/>
      <c r="BDF197" s="28"/>
      <c r="BDG197" s="28"/>
      <c r="BDH197" s="28"/>
      <c r="BDI197" s="28"/>
      <c r="BDJ197" s="28"/>
      <c r="BDK197" s="28"/>
      <c r="BDL197" s="28"/>
      <c r="BDM197" s="28"/>
      <c r="BDN197" s="28"/>
      <c r="BDO197" s="28"/>
      <c r="BDP197" s="28"/>
      <c r="BDQ197" s="28"/>
      <c r="BDR197" s="28"/>
      <c r="BDS197" s="28"/>
      <c r="BDT197" s="28"/>
      <c r="BDU197" s="28"/>
      <c r="BDV197" s="28"/>
      <c r="BDW197" s="28"/>
      <c r="BDX197" s="28"/>
      <c r="BDY197" s="28"/>
      <c r="BDZ197" s="28"/>
      <c r="BEA197" s="28"/>
      <c r="BEB197" s="28"/>
      <c r="BEC197" s="28"/>
      <c r="BED197" s="28"/>
      <c r="BEE197" s="28"/>
      <c r="BEF197" s="28"/>
      <c r="BEG197" s="28"/>
      <c r="BEH197" s="28"/>
      <c r="BEI197" s="28"/>
      <c r="BEJ197" s="28"/>
      <c r="BEK197" s="28"/>
      <c r="BEL197" s="28"/>
      <c r="BEM197" s="28"/>
      <c r="BEN197" s="28"/>
      <c r="BEO197" s="28"/>
      <c r="BEP197" s="28"/>
      <c r="BEQ197" s="28"/>
      <c r="BER197" s="28"/>
      <c r="BES197" s="28"/>
      <c r="BET197" s="28"/>
      <c r="BEU197" s="28"/>
      <c r="BEV197" s="28"/>
      <c r="BEW197" s="28"/>
      <c r="BEX197" s="28"/>
      <c r="BEY197" s="28"/>
      <c r="BEZ197" s="28"/>
      <c r="BFA197" s="28"/>
      <c r="BFB197" s="28"/>
      <c r="BFC197" s="28"/>
      <c r="BFD197" s="28"/>
      <c r="BFE197" s="28"/>
      <c r="BFF197" s="28"/>
      <c r="BFG197" s="28"/>
      <c r="BFH197" s="28"/>
      <c r="BFI197" s="28"/>
      <c r="BFJ197" s="28"/>
      <c r="BFK197" s="28"/>
      <c r="BFL197" s="28"/>
      <c r="BFM197" s="28"/>
      <c r="BFN197" s="28"/>
      <c r="BFO197" s="28"/>
      <c r="BFP197" s="28"/>
      <c r="BFQ197" s="28"/>
      <c r="BFR197" s="28"/>
      <c r="BFS197" s="28"/>
      <c r="BFT197" s="28"/>
      <c r="BFU197" s="28"/>
      <c r="BFV197" s="28"/>
      <c r="BFW197" s="28"/>
      <c r="BFX197" s="28"/>
      <c r="BFY197" s="28"/>
      <c r="BFZ197" s="28"/>
      <c r="BGA197" s="28"/>
      <c r="BGB197" s="28"/>
      <c r="BGC197" s="28"/>
      <c r="BGD197" s="28"/>
      <c r="BGE197" s="28"/>
      <c r="BGF197" s="28"/>
      <c r="BGG197" s="28"/>
      <c r="BGH197" s="28"/>
      <c r="BGI197" s="28"/>
      <c r="BGJ197" s="28"/>
      <c r="BGK197" s="28"/>
      <c r="BGL197" s="28"/>
      <c r="BGM197" s="28"/>
      <c r="BGN197" s="28"/>
      <c r="BGO197" s="28"/>
      <c r="BGP197" s="28"/>
      <c r="BGQ197" s="28"/>
      <c r="BGR197" s="28"/>
      <c r="BGS197" s="28"/>
      <c r="BGT197" s="28"/>
      <c r="BGU197" s="28"/>
      <c r="BGV197" s="28"/>
      <c r="BGW197" s="28"/>
      <c r="BGX197" s="28"/>
      <c r="BGY197" s="28"/>
      <c r="BGZ197" s="28"/>
      <c r="BHA197" s="28"/>
      <c r="BHB197" s="28"/>
      <c r="BHC197" s="28"/>
      <c r="BHD197" s="28"/>
      <c r="BHE197" s="28"/>
      <c r="BHF197" s="28"/>
      <c r="BHG197" s="28"/>
      <c r="BHH197" s="28"/>
      <c r="BHI197" s="28"/>
      <c r="BHJ197" s="28"/>
      <c r="BHK197" s="28"/>
      <c r="BHL197" s="28"/>
      <c r="BHM197" s="28"/>
      <c r="BHN197" s="28"/>
      <c r="BHO197" s="28"/>
      <c r="BHP197" s="28"/>
      <c r="BHQ197" s="28"/>
      <c r="BHR197" s="28"/>
      <c r="BHS197" s="28"/>
      <c r="BHT197" s="28"/>
      <c r="BHU197" s="28"/>
      <c r="BHV197" s="28"/>
      <c r="BHW197" s="28"/>
      <c r="BHX197" s="28"/>
      <c r="BHY197" s="28"/>
      <c r="BHZ197" s="28"/>
      <c r="BIA197" s="28"/>
      <c r="BIB197" s="28"/>
      <c r="BIC197" s="28"/>
      <c r="BID197" s="28"/>
      <c r="BIE197" s="28"/>
      <c r="BIF197" s="28"/>
      <c r="BIG197" s="28"/>
      <c r="BIH197" s="28"/>
      <c r="BII197" s="28"/>
      <c r="BIJ197" s="28"/>
      <c r="BIK197" s="28"/>
      <c r="BIL197" s="28"/>
      <c r="BIM197" s="28"/>
      <c r="BIN197" s="28"/>
      <c r="BIO197" s="28"/>
      <c r="BIP197" s="28"/>
      <c r="BIQ197" s="28"/>
      <c r="BIR197" s="28"/>
      <c r="BIS197" s="28"/>
      <c r="BIT197" s="28"/>
      <c r="BIU197" s="28"/>
      <c r="BIV197" s="28"/>
      <c r="BIW197" s="28"/>
      <c r="BIX197" s="28"/>
      <c r="BIY197" s="28"/>
      <c r="BIZ197" s="28"/>
      <c r="BJA197" s="28"/>
      <c r="BJB197" s="28"/>
      <c r="BJC197" s="28"/>
      <c r="BJD197" s="28"/>
      <c r="BJE197" s="28"/>
      <c r="BJF197" s="28"/>
      <c r="BJG197" s="28"/>
      <c r="BJH197" s="28"/>
      <c r="BJI197" s="28"/>
      <c r="BJJ197" s="28"/>
      <c r="BJK197" s="28"/>
      <c r="BJL197" s="28"/>
      <c r="BJM197" s="28"/>
      <c r="BJN197" s="28"/>
      <c r="BJO197" s="28"/>
      <c r="BJP197" s="28"/>
      <c r="BJQ197" s="28"/>
      <c r="BJR197" s="28"/>
      <c r="BJS197" s="28"/>
      <c r="BJT197" s="28"/>
      <c r="BJU197" s="28"/>
      <c r="BJV197" s="28"/>
      <c r="BJW197" s="28"/>
      <c r="BJX197" s="28"/>
      <c r="BJY197" s="28"/>
      <c r="BJZ197" s="28"/>
      <c r="BKA197" s="28"/>
      <c r="BKB197" s="28"/>
      <c r="BKC197" s="28"/>
      <c r="BKD197" s="28"/>
      <c r="BKE197" s="28"/>
      <c r="BKF197" s="28"/>
      <c r="BKG197" s="28"/>
      <c r="BKH197" s="28"/>
      <c r="BKI197" s="28"/>
      <c r="BKJ197" s="28"/>
      <c r="BKK197" s="28"/>
      <c r="BKL197" s="28"/>
      <c r="BKM197" s="28"/>
      <c r="BKN197" s="28"/>
      <c r="BKO197" s="28"/>
      <c r="BKP197" s="28"/>
      <c r="BKQ197" s="28"/>
      <c r="BKR197" s="28"/>
      <c r="BKS197" s="28"/>
      <c r="BKT197" s="28"/>
      <c r="BKU197" s="28"/>
      <c r="BKV197" s="28"/>
      <c r="BKW197" s="28"/>
      <c r="BKX197" s="28"/>
      <c r="BKY197" s="28"/>
      <c r="BKZ197" s="28"/>
      <c r="BLA197" s="28"/>
      <c r="BLB197" s="28"/>
      <c r="BLC197" s="28"/>
      <c r="BLD197" s="28"/>
      <c r="BLE197" s="28"/>
      <c r="BLF197" s="28"/>
      <c r="BLG197" s="28"/>
      <c r="BLH197" s="28"/>
      <c r="BLI197" s="28"/>
      <c r="BLJ197" s="28"/>
      <c r="BLK197" s="28"/>
      <c r="BLL197" s="28"/>
      <c r="BLM197" s="28"/>
      <c r="BLN197" s="28"/>
      <c r="BLO197" s="28"/>
      <c r="BLP197" s="28"/>
      <c r="BLQ197" s="28"/>
      <c r="BLR197" s="28"/>
      <c r="BLS197" s="28"/>
      <c r="BLT197" s="28"/>
      <c r="BLU197" s="28"/>
      <c r="BLV197" s="28"/>
      <c r="BLW197" s="28"/>
      <c r="BLX197" s="28"/>
      <c r="BLY197" s="28"/>
      <c r="BLZ197" s="28"/>
      <c r="BMA197" s="28"/>
      <c r="BMB197" s="28"/>
      <c r="BMC197" s="28"/>
      <c r="BMD197" s="28"/>
      <c r="BME197" s="28"/>
      <c r="BMF197" s="28"/>
      <c r="BMG197" s="28"/>
      <c r="BMH197" s="28"/>
      <c r="BMI197" s="28"/>
      <c r="BMJ197" s="28"/>
      <c r="BMK197" s="28"/>
      <c r="BML197" s="28"/>
      <c r="BMM197" s="28"/>
      <c r="BMN197" s="28"/>
      <c r="BMO197" s="28"/>
      <c r="BMP197" s="28"/>
      <c r="BMQ197" s="28"/>
      <c r="BMR197" s="28"/>
      <c r="BMS197" s="28"/>
      <c r="BMT197" s="28"/>
      <c r="BMU197" s="28"/>
      <c r="BMV197" s="28"/>
      <c r="BMW197" s="28"/>
      <c r="BMX197" s="28"/>
      <c r="BMY197" s="28"/>
      <c r="BMZ197" s="28"/>
      <c r="BNA197" s="28"/>
      <c r="BNB197" s="28"/>
      <c r="BNC197" s="28"/>
      <c r="BND197" s="28"/>
      <c r="BNE197" s="28"/>
      <c r="BNF197" s="28"/>
      <c r="BNG197" s="28"/>
      <c r="BNH197" s="28"/>
      <c r="BNI197" s="28"/>
      <c r="BNJ197" s="28"/>
      <c r="BNK197" s="28"/>
      <c r="BNL197" s="28"/>
      <c r="BNM197" s="28"/>
      <c r="BNN197" s="28"/>
      <c r="BNO197" s="28"/>
      <c r="BNP197" s="28"/>
      <c r="BNQ197" s="28"/>
      <c r="BNR197" s="28"/>
      <c r="BNS197" s="28"/>
      <c r="BNT197" s="28"/>
      <c r="BNU197" s="28"/>
      <c r="BNV197" s="28"/>
      <c r="BNW197" s="28"/>
      <c r="BNX197" s="28"/>
      <c r="BNY197" s="28"/>
      <c r="BNZ197" s="28"/>
      <c r="BOA197" s="28"/>
      <c r="BOB197" s="28"/>
      <c r="BOC197" s="28"/>
      <c r="BOD197" s="28"/>
      <c r="BOE197" s="28"/>
      <c r="BOF197" s="28"/>
      <c r="BOG197" s="28"/>
      <c r="BOH197" s="28"/>
      <c r="BOI197" s="28"/>
      <c r="BOJ197" s="28"/>
      <c r="BOK197" s="28"/>
      <c r="BOL197" s="28"/>
      <c r="BOM197" s="28"/>
      <c r="BON197" s="28"/>
      <c r="BOO197" s="28"/>
      <c r="BOP197" s="28"/>
      <c r="BOQ197" s="28"/>
      <c r="BOR197" s="28"/>
      <c r="BOS197" s="28"/>
      <c r="BOT197" s="28"/>
      <c r="BOU197" s="28"/>
      <c r="BOV197" s="28"/>
      <c r="BOW197" s="28"/>
      <c r="BOX197" s="28"/>
      <c r="BOY197" s="28"/>
      <c r="BOZ197" s="28"/>
      <c r="BPA197" s="28"/>
      <c r="BPB197" s="28"/>
      <c r="BPC197" s="28"/>
      <c r="BPD197" s="28"/>
      <c r="BPE197" s="28"/>
      <c r="BPF197" s="28"/>
      <c r="BPG197" s="28"/>
      <c r="BPH197" s="28"/>
      <c r="BPI197" s="28"/>
      <c r="BPJ197" s="28"/>
      <c r="BPK197" s="28"/>
      <c r="BPL197" s="28"/>
      <c r="BPM197" s="28"/>
      <c r="BPN197" s="28"/>
      <c r="BPO197" s="28"/>
      <c r="BPP197" s="28"/>
      <c r="BPQ197" s="28"/>
      <c r="BPR197" s="28"/>
      <c r="BPS197" s="28"/>
      <c r="BPT197" s="28"/>
      <c r="BPU197" s="28"/>
      <c r="BPV197" s="28"/>
      <c r="BPW197" s="28"/>
      <c r="BPX197" s="28"/>
      <c r="BPY197" s="28"/>
      <c r="BPZ197" s="28"/>
      <c r="BQA197" s="28"/>
      <c r="BQB197" s="28"/>
      <c r="BQC197" s="28"/>
      <c r="BQD197" s="28"/>
      <c r="BQE197" s="28"/>
      <c r="BQF197" s="28"/>
      <c r="BQG197" s="28"/>
      <c r="BQH197" s="28"/>
      <c r="BQI197" s="28"/>
      <c r="BQJ197" s="28"/>
      <c r="BQK197" s="28"/>
      <c r="BQL197" s="28"/>
      <c r="BQM197" s="28"/>
      <c r="BQN197" s="28"/>
      <c r="BQO197" s="28"/>
      <c r="BQP197" s="28"/>
      <c r="BQQ197" s="28"/>
      <c r="BQR197" s="28"/>
      <c r="BQS197" s="28"/>
      <c r="BQT197" s="28"/>
      <c r="BQU197" s="28"/>
      <c r="BQV197" s="28"/>
      <c r="BQW197" s="28"/>
      <c r="BQX197" s="28"/>
      <c r="BQY197" s="28"/>
      <c r="BQZ197" s="28"/>
      <c r="BRA197" s="28"/>
      <c r="BRB197" s="28"/>
      <c r="BRC197" s="28"/>
      <c r="BRD197" s="28"/>
      <c r="BRE197" s="28"/>
      <c r="BRF197" s="28"/>
      <c r="BRG197" s="28"/>
      <c r="BRH197" s="28"/>
      <c r="BRI197" s="28"/>
      <c r="BRJ197" s="28"/>
      <c r="BRK197" s="28"/>
      <c r="BRL197" s="28"/>
      <c r="BRM197" s="28"/>
      <c r="BRN197" s="28"/>
      <c r="BRO197" s="28"/>
      <c r="BRP197" s="28"/>
      <c r="BRQ197" s="28"/>
      <c r="BRR197" s="28"/>
      <c r="BRS197" s="28"/>
      <c r="BRT197" s="28"/>
      <c r="BRU197" s="28"/>
      <c r="BRV197" s="28"/>
      <c r="BRW197" s="28"/>
      <c r="BRX197" s="28"/>
      <c r="BRY197" s="28"/>
      <c r="BRZ197" s="28"/>
      <c r="BSA197" s="28"/>
      <c r="BSB197" s="28"/>
      <c r="BSC197" s="28"/>
      <c r="BSD197" s="28"/>
      <c r="BSE197" s="28"/>
      <c r="BSF197" s="28"/>
      <c r="BSG197" s="28"/>
      <c r="BSH197" s="28"/>
      <c r="BSI197" s="28"/>
      <c r="BSJ197" s="28"/>
      <c r="BSK197" s="28"/>
      <c r="BSL197" s="28"/>
      <c r="BSM197" s="28"/>
      <c r="BSN197" s="28"/>
      <c r="BSO197" s="28"/>
      <c r="BSP197" s="28"/>
      <c r="BSQ197" s="28"/>
      <c r="BSR197" s="28"/>
      <c r="BSS197" s="28"/>
      <c r="BST197" s="28"/>
      <c r="BSU197" s="28"/>
      <c r="BSV197" s="28"/>
      <c r="BSW197" s="28"/>
      <c r="BSX197" s="28"/>
      <c r="BSY197" s="28"/>
      <c r="BSZ197" s="28"/>
      <c r="BTA197" s="28"/>
      <c r="BTB197" s="28"/>
      <c r="BTC197" s="28"/>
      <c r="BTD197" s="28"/>
      <c r="BTE197" s="28"/>
      <c r="BTF197" s="28"/>
      <c r="BTG197" s="28"/>
      <c r="BTH197" s="28"/>
      <c r="BTI197" s="28"/>
      <c r="BTJ197" s="28"/>
      <c r="BTK197" s="28"/>
      <c r="BTL197" s="28"/>
      <c r="BTM197" s="28"/>
      <c r="BTN197" s="28"/>
      <c r="BTO197" s="28"/>
      <c r="BTP197" s="28"/>
      <c r="BTQ197" s="28"/>
      <c r="BTR197" s="28"/>
      <c r="BTS197" s="28"/>
      <c r="BTT197" s="28"/>
      <c r="BTU197" s="28"/>
      <c r="BTV197" s="28"/>
      <c r="BTW197" s="28"/>
      <c r="BTX197" s="28"/>
      <c r="BTY197" s="28"/>
      <c r="BTZ197" s="28"/>
      <c r="BUA197" s="28"/>
      <c r="BUB197" s="28"/>
      <c r="BUC197" s="28"/>
      <c r="BUD197" s="28"/>
      <c r="BUE197" s="28"/>
      <c r="BUF197" s="28"/>
      <c r="BUG197" s="28"/>
      <c r="BUH197" s="28"/>
      <c r="BUI197" s="28"/>
      <c r="BUJ197" s="28"/>
      <c r="BUK197" s="28"/>
      <c r="BUL197" s="28"/>
      <c r="BUM197" s="28"/>
      <c r="BUN197" s="28"/>
      <c r="BUO197" s="28"/>
      <c r="BUP197" s="28"/>
      <c r="BUQ197" s="28"/>
      <c r="BUR197" s="28"/>
      <c r="BUS197" s="28"/>
      <c r="BUT197" s="28"/>
      <c r="BUU197" s="28"/>
      <c r="BUV197" s="28"/>
      <c r="BUW197" s="28"/>
      <c r="BUX197" s="28"/>
      <c r="BUY197" s="28"/>
      <c r="BUZ197" s="28"/>
      <c r="BVA197" s="28"/>
      <c r="BVB197" s="28"/>
      <c r="BVC197" s="28"/>
      <c r="BVD197" s="28"/>
      <c r="BVE197" s="28"/>
      <c r="BVF197" s="28"/>
      <c r="BVG197" s="28"/>
      <c r="BVH197" s="28"/>
      <c r="BVI197" s="28"/>
      <c r="BVJ197" s="28"/>
      <c r="BVK197" s="28"/>
      <c r="BVL197" s="28"/>
      <c r="BVM197" s="28"/>
      <c r="BVN197" s="28"/>
      <c r="BVO197" s="28"/>
      <c r="BVP197" s="28"/>
      <c r="BVQ197" s="28"/>
      <c r="BVR197" s="28"/>
      <c r="BVS197" s="28"/>
      <c r="BVT197" s="28"/>
      <c r="BVU197" s="28"/>
      <c r="BVV197" s="28"/>
      <c r="BVW197" s="28"/>
      <c r="BVX197" s="28"/>
      <c r="BVY197" s="28"/>
      <c r="BVZ197" s="28"/>
      <c r="BWA197" s="28"/>
      <c r="BWB197" s="28"/>
      <c r="BWC197" s="28"/>
      <c r="BWD197" s="28"/>
      <c r="BWE197" s="28"/>
      <c r="BWF197" s="28"/>
      <c r="BWG197" s="28"/>
      <c r="BWH197" s="28"/>
      <c r="BWI197" s="28"/>
      <c r="BWJ197" s="28"/>
      <c r="BWK197" s="28"/>
      <c r="BWL197" s="28"/>
      <c r="BWM197" s="28"/>
      <c r="BWN197" s="28"/>
      <c r="BWO197" s="28"/>
      <c r="BWP197" s="28"/>
      <c r="BWQ197" s="28"/>
      <c r="BWR197" s="28"/>
      <c r="BWS197" s="28"/>
      <c r="BWT197" s="28"/>
      <c r="BWU197" s="28"/>
      <c r="BWV197" s="28"/>
      <c r="BWW197" s="28"/>
      <c r="BWX197" s="28"/>
      <c r="BWY197" s="28"/>
      <c r="BWZ197" s="28"/>
      <c r="BXA197" s="28"/>
      <c r="BXB197" s="28"/>
      <c r="BXC197" s="28"/>
      <c r="BXD197" s="28"/>
      <c r="BXE197" s="28"/>
      <c r="BXF197" s="28"/>
      <c r="BXG197" s="28"/>
      <c r="BXH197" s="28"/>
      <c r="BXI197" s="28"/>
      <c r="BXJ197" s="28"/>
      <c r="BXK197" s="28"/>
      <c r="BXL197" s="28"/>
      <c r="BXM197" s="28"/>
      <c r="BXN197" s="28"/>
      <c r="BXO197" s="28"/>
      <c r="BXP197" s="28"/>
      <c r="BXQ197" s="28"/>
      <c r="BXR197" s="28"/>
      <c r="BXS197" s="28"/>
      <c r="BXT197" s="28"/>
      <c r="BXU197" s="28"/>
      <c r="BXV197" s="28"/>
      <c r="BXW197" s="28"/>
      <c r="BXX197" s="28"/>
      <c r="BXY197" s="28"/>
      <c r="BXZ197" s="28"/>
      <c r="BYA197" s="28"/>
      <c r="BYB197" s="28"/>
      <c r="BYC197" s="28"/>
      <c r="BYD197" s="28"/>
      <c r="BYE197" s="28"/>
      <c r="BYF197" s="28"/>
      <c r="BYG197" s="28"/>
      <c r="BYH197" s="28"/>
      <c r="BYI197" s="28"/>
      <c r="BYJ197" s="28"/>
      <c r="BYK197" s="28"/>
      <c r="BYL197" s="28"/>
      <c r="BYM197" s="28"/>
      <c r="BYN197" s="28"/>
      <c r="BYO197" s="28"/>
      <c r="BYP197" s="28"/>
      <c r="BYQ197" s="28"/>
      <c r="BYR197" s="28"/>
      <c r="BYS197" s="28"/>
      <c r="BYT197" s="28"/>
      <c r="BYU197" s="28"/>
      <c r="BYV197" s="28"/>
      <c r="BYW197" s="28"/>
      <c r="BYX197" s="28"/>
      <c r="BYY197" s="28"/>
      <c r="BYZ197" s="28"/>
      <c r="BZA197" s="28"/>
      <c r="BZB197" s="28"/>
      <c r="BZC197" s="28"/>
      <c r="BZD197" s="28"/>
      <c r="BZE197" s="28"/>
      <c r="BZF197" s="28"/>
      <c r="BZG197" s="28"/>
      <c r="BZH197" s="28"/>
      <c r="BZI197" s="28"/>
      <c r="BZJ197" s="28"/>
      <c r="BZK197" s="28"/>
      <c r="BZL197" s="28"/>
      <c r="BZM197" s="28"/>
      <c r="BZN197" s="28"/>
      <c r="BZO197" s="28"/>
      <c r="BZP197" s="28"/>
      <c r="BZQ197" s="28"/>
      <c r="BZR197" s="28"/>
      <c r="BZS197" s="28"/>
      <c r="BZT197" s="28"/>
      <c r="BZU197" s="28"/>
      <c r="BZV197" s="28"/>
      <c r="BZW197" s="28"/>
      <c r="BZX197" s="28"/>
      <c r="BZY197" s="28"/>
      <c r="BZZ197" s="28"/>
      <c r="CAA197" s="28"/>
      <c r="CAB197" s="28"/>
      <c r="CAC197" s="28"/>
      <c r="CAD197" s="28"/>
      <c r="CAE197" s="28"/>
      <c r="CAF197" s="28"/>
      <c r="CAG197" s="28"/>
      <c r="CAH197" s="28"/>
      <c r="CAI197" s="28"/>
      <c r="CAJ197" s="28"/>
      <c r="CAK197" s="28"/>
      <c r="CAL197" s="28"/>
      <c r="CAM197" s="28"/>
      <c r="CAN197" s="28"/>
      <c r="CAO197" s="28"/>
      <c r="CAP197" s="28"/>
      <c r="CAQ197" s="28"/>
      <c r="CAR197" s="28"/>
      <c r="CAS197" s="28"/>
      <c r="CAT197" s="28"/>
      <c r="CAU197" s="28"/>
      <c r="CAV197" s="28"/>
      <c r="CAW197" s="28"/>
      <c r="CAX197" s="28"/>
      <c r="CAY197" s="28"/>
      <c r="CAZ197" s="28"/>
      <c r="CBA197" s="28"/>
      <c r="CBB197" s="28"/>
      <c r="CBC197" s="28"/>
      <c r="CBD197" s="28"/>
      <c r="CBE197" s="28"/>
      <c r="CBF197" s="28"/>
      <c r="CBG197" s="28"/>
      <c r="CBH197" s="28"/>
      <c r="CBI197" s="28"/>
      <c r="CBJ197" s="28"/>
      <c r="CBK197" s="28"/>
      <c r="CBL197" s="28"/>
      <c r="CBM197" s="28"/>
      <c r="CBN197" s="28"/>
      <c r="CBO197" s="28"/>
      <c r="CBP197" s="28"/>
      <c r="CBQ197" s="28"/>
      <c r="CBR197" s="28"/>
      <c r="CBS197" s="28"/>
      <c r="CBT197" s="28"/>
      <c r="CBU197" s="28"/>
      <c r="CBV197" s="28"/>
      <c r="CBW197" s="28"/>
      <c r="CBX197" s="28"/>
      <c r="CBY197" s="28"/>
      <c r="CBZ197" s="28"/>
      <c r="CCA197" s="28"/>
      <c r="CCB197" s="28"/>
      <c r="CCC197" s="28"/>
      <c r="CCD197" s="28"/>
      <c r="CCE197" s="28"/>
      <c r="CCF197" s="28"/>
      <c r="CCG197" s="28"/>
      <c r="CCH197" s="28"/>
      <c r="CCI197" s="28"/>
      <c r="CCJ197" s="28"/>
      <c r="CCK197" s="28"/>
      <c r="CCL197" s="28"/>
      <c r="CCM197" s="28"/>
      <c r="CCN197" s="28"/>
      <c r="CCO197" s="28"/>
      <c r="CCP197" s="28"/>
      <c r="CCQ197" s="28"/>
      <c r="CCR197" s="28"/>
      <c r="CCS197" s="28"/>
      <c r="CCT197" s="28"/>
      <c r="CCU197" s="28"/>
      <c r="CCV197" s="28"/>
      <c r="CCW197" s="28"/>
      <c r="CCX197" s="28"/>
      <c r="CCY197" s="28"/>
      <c r="CCZ197" s="28"/>
      <c r="CDA197" s="28"/>
      <c r="CDB197" s="28"/>
      <c r="CDC197" s="28"/>
      <c r="CDD197" s="28"/>
      <c r="CDE197" s="28"/>
      <c r="CDF197" s="28"/>
      <c r="CDG197" s="28"/>
      <c r="CDH197" s="28"/>
      <c r="CDI197" s="28"/>
      <c r="CDJ197" s="28"/>
      <c r="CDK197" s="28"/>
      <c r="CDL197" s="28"/>
      <c r="CDM197" s="28"/>
      <c r="CDN197" s="28"/>
      <c r="CDO197" s="28"/>
      <c r="CDP197" s="28"/>
      <c r="CDQ197" s="28"/>
      <c r="CDR197" s="28"/>
      <c r="CDS197" s="28"/>
      <c r="CDT197" s="28"/>
      <c r="CDU197" s="28"/>
      <c r="CDV197" s="28"/>
      <c r="CDW197" s="28"/>
      <c r="CDX197" s="28"/>
      <c r="CDY197" s="28"/>
      <c r="CDZ197" s="28"/>
      <c r="CEA197" s="28"/>
      <c r="CEB197" s="28"/>
      <c r="CEC197" s="28"/>
      <c r="CED197" s="28"/>
      <c r="CEE197" s="28"/>
      <c r="CEF197" s="28"/>
      <c r="CEG197" s="28"/>
      <c r="CEH197" s="28"/>
      <c r="CEI197" s="28"/>
      <c r="CEJ197" s="28"/>
      <c r="CEK197" s="28"/>
      <c r="CEL197" s="28"/>
      <c r="CEM197" s="28"/>
      <c r="CEN197" s="28"/>
      <c r="CEO197" s="28"/>
      <c r="CEP197" s="28"/>
      <c r="CEQ197" s="28"/>
      <c r="CER197" s="28"/>
      <c r="CES197" s="28"/>
      <c r="CET197" s="28"/>
      <c r="CEU197" s="28"/>
      <c r="CEV197" s="28"/>
      <c r="CEW197" s="28"/>
      <c r="CEX197" s="28"/>
      <c r="CEY197" s="28"/>
      <c r="CEZ197" s="28"/>
      <c r="CFA197" s="28"/>
      <c r="CFB197" s="28"/>
      <c r="CFC197" s="28"/>
      <c r="CFD197" s="28"/>
      <c r="CFE197" s="28"/>
      <c r="CFF197" s="28"/>
      <c r="CFG197" s="28"/>
      <c r="CFH197" s="28"/>
      <c r="CFI197" s="28"/>
      <c r="CFJ197" s="28"/>
      <c r="CFK197" s="28"/>
      <c r="CFL197" s="28"/>
      <c r="CFM197" s="28"/>
      <c r="CFN197" s="28"/>
      <c r="CFO197" s="28"/>
      <c r="CFP197" s="28"/>
      <c r="CFQ197" s="28"/>
      <c r="CFR197" s="28"/>
      <c r="CFS197" s="28"/>
      <c r="CFT197" s="28"/>
      <c r="CFU197" s="28"/>
      <c r="CFV197" s="28"/>
      <c r="CFW197" s="28"/>
      <c r="CFX197" s="28"/>
      <c r="CFY197" s="28"/>
      <c r="CFZ197" s="28"/>
      <c r="CGA197" s="28"/>
      <c r="CGB197" s="28"/>
      <c r="CGC197" s="28"/>
      <c r="CGD197" s="28"/>
      <c r="CGE197" s="28"/>
      <c r="CGF197" s="28"/>
      <c r="CGG197" s="28"/>
      <c r="CGH197" s="28"/>
      <c r="CGI197" s="28"/>
      <c r="CGJ197" s="28"/>
      <c r="CGK197" s="28"/>
      <c r="CGL197" s="28"/>
      <c r="CGM197" s="28"/>
      <c r="CGN197" s="28"/>
      <c r="CGO197" s="28"/>
      <c r="CGP197" s="28"/>
      <c r="CGQ197" s="28"/>
      <c r="CGR197" s="28"/>
      <c r="CGS197" s="28"/>
      <c r="CGT197" s="28"/>
      <c r="CGU197" s="28"/>
      <c r="CGV197" s="28"/>
      <c r="CGW197" s="28"/>
      <c r="CGX197" s="28"/>
      <c r="CGY197" s="28"/>
      <c r="CGZ197" s="28"/>
      <c r="CHA197" s="28"/>
      <c r="CHB197" s="28"/>
      <c r="CHC197" s="28"/>
      <c r="CHD197" s="28"/>
      <c r="CHE197" s="28"/>
      <c r="CHF197" s="28"/>
      <c r="CHG197" s="28"/>
      <c r="CHH197" s="28"/>
      <c r="CHI197" s="28"/>
      <c r="CHJ197" s="28"/>
      <c r="CHK197" s="28"/>
      <c r="CHL197" s="28"/>
      <c r="CHM197" s="28"/>
      <c r="CHN197" s="28"/>
      <c r="CHO197" s="28"/>
      <c r="CHP197" s="28"/>
      <c r="CHQ197" s="28"/>
      <c r="CHR197" s="28"/>
      <c r="CHS197" s="28"/>
      <c r="CHT197" s="28"/>
      <c r="CHU197" s="28"/>
      <c r="CHV197" s="28"/>
      <c r="CHW197" s="28"/>
      <c r="CHX197" s="28"/>
      <c r="CHY197" s="28"/>
      <c r="CHZ197" s="28"/>
      <c r="CIA197" s="28"/>
      <c r="CIB197" s="28"/>
      <c r="CIC197" s="28"/>
      <c r="CID197" s="28"/>
      <c r="CIE197" s="28"/>
      <c r="CIF197" s="28"/>
      <c r="CIG197" s="28"/>
      <c r="CIH197" s="28"/>
      <c r="CII197" s="28"/>
      <c r="CIJ197" s="28"/>
      <c r="CIK197" s="28"/>
      <c r="CIL197" s="28"/>
      <c r="CIM197" s="28"/>
      <c r="CIN197" s="28"/>
      <c r="CIO197" s="28"/>
      <c r="CIP197" s="28"/>
      <c r="CIQ197" s="28"/>
      <c r="CIR197" s="28"/>
      <c r="CIS197" s="28"/>
      <c r="CIT197" s="28"/>
      <c r="CIU197" s="28"/>
      <c r="CIV197" s="28"/>
      <c r="CIW197" s="28"/>
      <c r="CIX197" s="28"/>
      <c r="CIY197" s="28"/>
      <c r="CIZ197" s="28"/>
      <c r="CJA197" s="28"/>
      <c r="CJB197" s="28"/>
      <c r="CJC197" s="28"/>
      <c r="CJD197" s="28"/>
      <c r="CJE197" s="28"/>
      <c r="CJF197" s="28"/>
      <c r="CJG197" s="28"/>
      <c r="CJH197" s="28"/>
      <c r="CJI197" s="28"/>
      <c r="CJJ197" s="28"/>
      <c r="CJK197" s="28"/>
      <c r="CJL197" s="28"/>
      <c r="CJM197" s="28"/>
      <c r="CJN197" s="28"/>
      <c r="CJO197" s="28"/>
      <c r="CJP197" s="28"/>
      <c r="CJQ197" s="28"/>
      <c r="CJR197" s="28"/>
      <c r="CJS197" s="28"/>
      <c r="CJT197" s="28"/>
      <c r="CJU197" s="28"/>
      <c r="CJV197" s="28"/>
      <c r="CJW197" s="28"/>
      <c r="CJX197" s="28"/>
      <c r="CJY197" s="28"/>
      <c r="CJZ197" s="28"/>
      <c r="CKA197" s="28"/>
      <c r="CKB197" s="28"/>
      <c r="CKC197" s="28"/>
      <c r="CKD197" s="28"/>
      <c r="CKE197" s="28"/>
      <c r="CKF197" s="28"/>
      <c r="CKG197" s="28"/>
      <c r="CKH197" s="28"/>
      <c r="CKI197" s="28"/>
      <c r="CKJ197" s="28"/>
      <c r="CKK197" s="28"/>
      <c r="CKL197" s="28"/>
      <c r="CKM197" s="28"/>
      <c r="CKN197" s="28"/>
      <c r="CKO197" s="28"/>
      <c r="CKP197" s="28"/>
      <c r="CKQ197" s="28"/>
      <c r="CKR197" s="28"/>
      <c r="CKS197" s="28"/>
      <c r="CKT197" s="28"/>
      <c r="CKU197" s="28"/>
      <c r="CKV197" s="28"/>
      <c r="CKW197" s="28"/>
      <c r="CKX197" s="28"/>
      <c r="CKY197" s="28"/>
      <c r="CKZ197" s="28"/>
      <c r="CLA197" s="28"/>
      <c r="CLB197" s="28"/>
      <c r="CLC197" s="28"/>
      <c r="CLD197" s="28"/>
      <c r="CLE197" s="28"/>
      <c r="CLF197" s="28"/>
      <c r="CLG197" s="28"/>
      <c r="CLH197" s="28"/>
      <c r="CLI197" s="28"/>
      <c r="CLJ197" s="28"/>
      <c r="CLK197" s="28"/>
      <c r="CLL197" s="28"/>
      <c r="CLM197" s="28"/>
      <c r="CLN197" s="28"/>
      <c r="CLO197" s="28"/>
      <c r="CLP197" s="28"/>
      <c r="CLQ197" s="28"/>
      <c r="CLR197" s="28"/>
      <c r="CLS197" s="28"/>
      <c r="CLT197" s="28"/>
      <c r="CLU197" s="28"/>
      <c r="CLV197" s="28"/>
      <c r="CLW197" s="28"/>
      <c r="CLX197" s="28"/>
      <c r="CLY197" s="28"/>
      <c r="CLZ197" s="28"/>
      <c r="CMA197" s="28"/>
      <c r="CMB197" s="28"/>
      <c r="CMC197" s="28"/>
      <c r="CMD197" s="28"/>
      <c r="CME197" s="28"/>
      <c r="CMF197" s="28"/>
      <c r="CMG197" s="28"/>
      <c r="CMH197" s="28"/>
      <c r="CMI197" s="28"/>
      <c r="CMJ197" s="28"/>
      <c r="CMK197" s="28"/>
      <c r="CML197" s="28"/>
      <c r="CMM197" s="28"/>
      <c r="CMN197" s="28"/>
      <c r="CMO197" s="28"/>
      <c r="CMP197" s="28"/>
      <c r="CMQ197" s="28"/>
      <c r="CMR197" s="28"/>
      <c r="CMS197" s="28"/>
      <c r="CMT197" s="28"/>
      <c r="CMU197" s="28"/>
      <c r="CMV197" s="28"/>
      <c r="CMW197" s="28"/>
      <c r="CMX197" s="28"/>
      <c r="CMY197" s="28"/>
      <c r="CMZ197" s="28"/>
      <c r="CNA197" s="28"/>
      <c r="CNB197" s="28"/>
      <c r="CNC197" s="28"/>
      <c r="CND197" s="28"/>
      <c r="CNE197" s="28"/>
      <c r="CNF197" s="28"/>
      <c r="CNG197" s="28"/>
      <c r="CNH197" s="28"/>
      <c r="CNI197" s="28"/>
      <c r="CNJ197" s="28"/>
      <c r="CNK197" s="28"/>
      <c r="CNL197" s="28"/>
      <c r="CNM197" s="28"/>
      <c r="CNN197" s="28"/>
      <c r="CNO197" s="28"/>
      <c r="CNP197" s="28"/>
      <c r="CNQ197" s="28"/>
      <c r="CNR197" s="28"/>
      <c r="CNS197" s="28"/>
      <c r="CNT197" s="28"/>
      <c r="CNU197" s="28"/>
      <c r="CNV197" s="28"/>
      <c r="CNW197" s="28"/>
      <c r="CNX197" s="28"/>
      <c r="CNY197" s="28"/>
      <c r="CNZ197" s="28"/>
      <c r="COA197" s="28"/>
      <c r="COB197" s="28"/>
      <c r="COC197" s="28"/>
      <c r="COD197" s="28"/>
      <c r="COE197" s="28"/>
      <c r="COF197" s="28"/>
      <c r="COG197" s="28"/>
      <c r="COH197" s="28"/>
      <c r="COI197" s="28"/>
      <c r="COJ197" s="28"/>
      <c r="COK197" s="28"/>
      <c r="COL197" s="28"/>
      <c r="COM197" s="28"/>
      <c r="CON197" s="28"/>
      <c r="COO197" s="28"/>
      <c r="COP197" s="28"/>
      <c r="COQ197" s="28"/>
      <c r="COR197" s="28"/>
      <c r="COS197" s="28"/>
      <c r="COT197" s="28"/>
      <c r="COU197" s="28"/>
      <c r="COV197" s="28"/>
      <c r="COW197" s="28"/>
      <c r="COX197" s="28"/>
      <c r="COY197" s="28"/>
      <c r="COZ197" s="28"/>
      <c r="CPA197" s="28"/>
      <c r="CPB197" s="28"/>
      <c r="CPC197" s="28"/>
      <c r="CPD197" s="28"/>
      <c r="CPE197" s="28"/>
      <c r="CPF197" s="28"/>
      <c r="CPG197" s="28"/>
      <c r="CPH197" s="28"/>
      <c r="CPI197" s="28"/>
      <c r="CPJ197" s="28"/>
      <c r="CPK197" s="28"/>
      <c r="CPL197" s="28"/>
      <c r="CPM197" s="28"/>
      <c r="CPN197" s="28"/>
      <c r="CPO197" s="28"/>
      <c r="CPP197" s="28"/>
      <c r="CPQ197" s="28"/>
      <c r="CPR197" s="28"/>
      <c r="CPS197" s="28"/>
      <c r="CPT197" s="28"/>
      <c r="CPU197" s="28"/>
      <c r="CPV197" s="28"/>
      <c r="CPW197" s="28"/>
      <c r="CPX197" s="28"/>
      <c r="CPY197" s="28"/>
      <c r="CPZ197" s="28"/>
      <c r="CQA197" s="28"/>
      <c r="CQB197" s="28"/>
      <c r="CQC197" s="28"/>
      <c r="CQD197" s="28"/>
      <c r="CQE197" s="28"/>
      <c r="CQF197" s="28"/>
      <c r="CQG197" s="28"/>
      <c r="CQH197" s="28"/>
      <c r="CQI197" s="28"/>
      <c r="CQJ197" s="28"/>
      <c r="CQK197" s="28"/>
      <c r="CQL197" s="28"/>
      <c r="CQM197" s="28"/>
      <c r="CQN197" s="28"/>
      <c r="CQO197" s="28"/>
      <c r="CQP197" s="28"/>
      <c r="CQQ197" s="28"/>
      <c r="CQR197" s="28"/>
      <c r="CQS197" s="28"/>
      <c r="CQT197" s="28"/>
      <c r="CQU197" s="28"/>
      <c r="CQV197" s="28"/>
      <c r="CQW197" s="28"/>
      <c r="CQX197" s="28"/>
      <c r="CQY197" s="28"/>
      <c r="CQZ197" s="28"/>
      <c r="CRA197" s="28"/>
      <c r="CRB197" s="28"/>
      <c r="CRC197" s="28"/>
      <c r="CRD197" s="28"/>
      <c r="CRE197" s="28"/>
      <c r="CRF197" s="28"/>
      <c r="CRG197" s="28"/>
      <c r="CRH197" s="28"/>
      <c r="CRI197" s="28"/>
      <c r="CRJ197" s="28"/>
      <c r="CRK197" s="28"/>
      <c r="CRL197" s="28"/>
      <c r="CRM197" s="28"/>
      <c r="CRN197" s="28"/>
      <c r="CRO197" s="28"/>
      <c r="CRP197" s="28"/>
      <c r="CRQ197" s="28"/>
      <c r="CRR197" s="28"/>
      <c r="CRS197" s="28"/>
      <c r="CRT197" s="28"/>
      <c r="CRU197" s="28"/>
      <c r="CRV197" s="28"/>
      <c r="CRW197" s="28"/>
      <c r="CRX197" s="28"/>
      <c r="CRY197" s="28"/>
      <c r="CRZ197" s="28"/>
      <c r="CSA197" s="28"/>
      <c r="CSB197" s="28"/>
      <c r="CSC197" s="28"/>
      <c r="CSD197" s="28"/>
      <c r="CSE197" s="28"/>
      <c r="CSF197" s="28"/>
      <c r="CSG197" s="28"/>
      <c r="CSH197" s="28"/>
      <c r="CSI197" s="28"/>
      <c r="CSJ197" s="28"/>
      <c r="CSK197" s="28"/>
      <c r="CSL197" s="28"/>
      <c r="CSM197" s="28"/>
      <c r="CSN197" s="28"/>
      <c r="CSO197" s="28"/>
      <c r="CSP197" s="28"/>
      <c r="CSQ197" s="28"/>
      <c r="CSR197" s="28"/>
      <c r="CSS197" s="28"/>
      <c r="CST197" s="28"/>
      <c r="CSU197" s="28"/>
      <c r="CSV197" s="28"/>
      <c r="CSW197" s="28"/>
      <c r="CSX197" s="28"/>
      <c r="CSY197" s="28"/>
      <c r="CSZ197" s="28"/>
      <c r="CTA197" s="28"/>
      <c r="CTB197" s="28"/>
      <c r="CTC197" s="28"/>
      <c r="CTD197" s="28"/>
      <c r="CTE197" s="28"/>
      <c r="CTF197" s="28"/>
      <c r="CTG197" s="28"/>
      <c r="CTH197" s="28"/>
      <c r="CTI197" s="28"/>
      <c r="CTJ197" s="28"/>
      <c r="CTK197" s="28"/>
      <c r="CTL197" s="28"/>
      <c r="CTM197" s="28"/>
      <c r="CTN197" s="28"/>
      <c r="CTO197" s="28"/>
      <c r="CTP197" s="28"/>
      <c r="CTQ197" s="28"/>
      <c r="CTR197" s="28"/>
      <c r="CTS197" s="28"/>
      <c r="CTT197" s="28"/>
      <c r="CTU197" s="28"/>
      <c r="CTV197" s="28"/>
      <c r="CTW197" s="28"/>
      <c r="CTX197" s="28"/>
      <c r="CTY197" s="28"/>
      <c r="CTZ197" s="28"/>
      <c r="CUA197" s="28"/>
      <c r="CUB197" s="28"/>
      <c r="CUC197" s="28"/>
      <c r="CUD197" s="28"/>
      <c r="CUE197" s="28"/>
      <c r="CUF197" s="28"/>
      <c r="CUG197" s="28"/>
      <c r="CUH197" s="28"/>
      <c r="CUI197" s="28"/>
      <c r="CUJ197" s="28"/>
      <c r="CUK197" s="28"/>
      <c r="CUL197" s="28"/>
      <c r="CUM197" s="28"/>
      <c r="CUN197" s="28"/>
      <c r="CUO197" s="28"/>
      <c r="CUP197" s="28"/>
      <c r="CUQ197" s="28"/>
      <c r="CUR197" s="28"/>
      <c r="CUS197" s="28"/>
      <c r="CUT197" s="28"/>
      <c r="CUU197" s="28"/>
      <c r="CUV197" s="28"/>
      <c r="CUW197" s="28"/>
      <c r="CUX197" s="28"/>
      <c r="CUY197" s="28"/>
      <c r="CUZ197" s="28"/>
      <c r="CVA197" s="28"/>
      <c r="CVB197" s="28"/>
      <c r="CVC197" s="28"/>
      <c r="CVD197" s="28"/>
      <c r="CVE197" s="28"/>
      <c r="CVF197" s="28"/>
      <c r="CVG197" s="28"/>
      <c r="CVH197" s="28"/>
      <c r="CVI197" s="28"/>
      <c r="CVJ197" s="28"/>
      <c r="CVK197" s="28"/>
      <c r="CVL197" s="28"/>
      <c r="CVM197" s="28"/>
      <c r="CVN197" s="28"/>
      <c r="CVO197" s="28"/>
      <c r="CVP197" s="28"/>
      <c r="CVQ197" s="28"/>
      <c r="CVR197" s="28"/>
      <c r="CVS197" s="28"/>
      <c r="CVT197" s="28"/>
      <c r="CVU197" s="28"/>
      <c r="CVV197" s="28"/>
      <c r="CVW197" s="28"/>
      <c r="CVX197" s="28"/>
      <c r="CVY197" s="28"/>
      <c r="CVZ197" s="28"/>
      <c r="CWA197" s="28"/>
      <c r="CWB197" s="28"/>
      <c r="CWC197" s="28"/>
      <c r="CWD197" s="28"/>
      <c r="CWE197" s="28"/>
      <c r="CWF197" s="28"/>
      <c r="CWG197" s="28"/>
      <c r="CWH197" s="28"/>
      <c r="CWI197" s="28"/>
      <c r="CWJ197" s="28"/>
      <c r="CWK197" s="28"/>
      <c r="CWL197" s="28"/>
      <c r="CWM197" s="28"/>
      <c r="CWN197" s="28"/>
      <c r="CWO197" s="28"/>
      <c r="CWP197" s="28"/>
      <c r="CWQ197" s="28"/>
      <c r="CWR197" s="28"/>
      <c r="CWS197" s="28"/>
      <c r="CWT197" s="28"/>
      <c r="CWU197" s="28"/>
      <c r="CWV197" s="28"/>
      <c r="CWW197" s="28"/>
      <c r="CWX197" s="28"/>
      <c r="CWY197" s="28"/>
      <c r="CWZ197" s="28"/>
      <c r="CXA197" s="28"/>
      <c r="CXB197" s="28"/>
      <c r="CXC197" s="28"/>
      <c r="CXD197" s="28"/>
      <c r="CXE197" s="28"/>
      <c r="CXF197" s="28"/>
      <c r="CXG197" s="28"/>
      <c r="CXH197" s="28"/>
      <c r="CXI197" s="28"/>
      <c r="CXJ197" s="28"/>
      <c r="CXK197" s="28"/>
      <c r="CXL197" s="28"/>
      <c r="CXM197" s="28"/>
      <c r="CXN197" s="28"/>
      <c r="CXO197" s="28"/>
      <c r="CXP197" s="28"/>
      <c r="CXQ197" s="28"/>
      <c r="CXR197" s="28"/>
      <c r="CXS197" s="28"/>
      <c r="CXT197" s="28"/>
      <c r="CXU197" s="28"/>
      <c r="CXV197" s="28"/>
      <c r="CXW197" s="28"/>
      <c r="CXX197" s="28"/>
      <c r="CXY197" s="28"/>
      <c r="CXZ197" s="28"/>
      <c r="CYA197" s="28"/>
      <c r="CYB197" s="28"/>
      <c r="CYC197" s="28"/>
      <c r="CYD197" s="28"/>
      <c r="CYE197" s="28"/>
      <c r="CYF197" s="28"/>
      <c r="CYG197" s="28"/>
      <c r="CYH197" s="28"/>
      <c r="CYI197" s="28"/>
      <c r="CYJ197" s="28"/>
      <c r="CYK197" s="28"/>
      <c r="CYL197" s="28"/>
      <c r="CYM197" s="28"/>
      <c r="CYN197" s="28"/>
      <c r="CYO197" s="28"/>
      <c r="CYP197" s="28"/>
      <c r="CYQ197" s="28"/>
      <c r="CYR197" s="28"/>
      <c r="CYS197" s="28"/>
      <c r="CYT197" s="28"/>
      <c r="CYU197" s="28"/>
      <c r="CYV197" s="28"/>
      <c r="CYW197" s="28"/>
      <c r="CYX197" s="28"/>
      <c r="CYY197" s="28"/>
      <c r="CYZ197" s="28"/>
      <c r="CZA197" s="28"/>
      <c r="CZB197" s="28"/>
      <c r="CZC197" s="28"/>
      <c r="CZD197" s="28"/>
      <c r="CZE197" s="28"/>
      <c r="CZF197" s="28"/>
      <c r="CZG197" s="28"/>
      <c r="CZH197" s="28"/>
      <c r="CZI197" s="28"/>
      <c r="CZJ197" s="28"/>
      <c r="CZK197" s="28"/>
      <c r="CZL197" s="28"/>
      <c r="CZM197" s="28"/>
      <c r="CZN197" s="28"/>
      <c r="CZO197" s="28"/>
      <c r="CZP197" s="28"/>
      <c r="CZQ197" s="28"/>
      <c r="CZR197" s="28"/>
      <c r="CZS197" s="28"/>
      <c r="CZT197" s="28"/>
      <c r="CZU197" s="28"/>
      <c r="CZV197" s="28"/>
      <c r="CZW197" s="28"/>
      <c r="CZX197" s="28"/>
      <c r="CZY197" s="28"/>
      <c r="CZZ197" s="28"/>
      <c r="DAA197" s="28"/>
      <c r="DAB197" s="28"/>
      <c r="DAC197" s="28"/>
      <c r="DAD197" s="28"/>
      <c r="DAE197" s="28"/>
      <c r="DAF197" s="28"/>
      <c r="DAG197" s="28"/>
      <c r="DAH197" s="28"/>
      <c r="DAI197" s="28"/>
      <c r="DAJ197" s="28"/>
      <c r="DAK197" s="28"/>
      <c r="DAL197" s="28"/>
      <c r="DAM197" s="28"/>
      <c r="DAN197" s="28"/>
      <c r="DAO197" s="28"/>
      <c r="DAP197" s="28"/>
      <c r="DAQ197" s="28"/>
      <c r="DAR197" s="28"/>
      <c r="DAS197" s="28"/>
      <c r="DAT197" s="28"/>
      <c r="DAU197" s="28"/>
      <c r="DAV197" s="28"/>
      <c r="DAW197" s="28"/>
      <c r="DAX197" s="28"/>
      <c r="DAY197" s="28"/>
      <c r="DAZ197" s="28"/>
      <c r="DBA197" s="28"/>
      <c r="DBB197" s="28"/>
      <c r="DBC197" s="28"/>
      <c r="DBD197" s="28"/>
      <c r="DBE197" s="28"/>
      <c r="DBF197" s="28"/>
      <c r="DBG197" s="28"/>
      <c r="DBH197" s="28"/>
      <c r="DBI197" s="28"/>
      <c r="DBJ197" s="28"/>
      <c r="DBK197" s="28"/>
      <c r="DBL197" s="28"/>
      <c r="DBM197" s="28"/>
      <c r="DBN197" s="28"/>
      <c r="DBO197" s="28"/>
      <c r="DBP197" s="28"/>
      <c r="DBQ197" s="28"/>
      <c r="DBR197" s="28"/>
      <c r="DBS197" s="28"/>
      <c r="DBT197" s="28"/>
      <c r="DBU197" s="28"/>
      <c r="DBV197" s="28"/>
      <c r="DBW197" s="28"/>
      <c r="DBX197" s="28"/>
      <c r="DBY197" s="28"/>
      <c r="DBZ197" s="28"/>
      <c r="DCA197" s="28"/>
      <c r="DCB197" s="28"/>
      <c r="DCC197" s="28"/>
      <c r="DCD197" s="28"/>
      <c r="DCE197" s="28"/>
      <c r="DCF197" s="28"/>
      <c r="DCG197" s="28"/>
      <c r="DCH197" s="28"/>
      <c r="DCI197" s="28"/>
      <c r="DCJ197" s="28"/>
      <c r="DCK197" s="28"/>
      <c r="DCL197" s="28"/>
      <c r="DCM197" s="28"/>
      <c r="DCN197" s="28"/>
      <c r="DCO197" s="28"/>
      <c r="DCP197" s="28"/>
      <c r="DCQ197" s="28"/>
      <c r="DCR197" s="28"/>
      <c r="DCS197" s="28"/>
      <c r="DCT197" s="28"/>
      <c r="DCU197" s="28"/>
      <c r="DCV197" s="28"/>
      <c r="DCW197" s="28"/>
      <c r="DCX197" s="28"/>
      <c r="DCY197" s="28"/>
      <c r="DCZ197" s="28"/>
      <c r="DDA197" s="28"/>
      <c r="DDB197" s="28"/>
      <c r="DDC197" s="28"/>
      <c r="DDD197" s="28"/>
      <c r="DDE197" s="28"/>
      <c r="DDF197" s="28"/>
      <c r="DDG197" s="28"/>
      <c r="DDH197" s="28"/>
      <c r="DDI197" s="28"/>
      <c r="DDJ197" s="28"/>
      <c r="DDK197" s="28"/>
      <c r="DDL197" s="28"/>
      <c r="DDM197" s="28"/>
      <c r="DDN197" s="28"/>
      <c r="DDO197" s="28"/>
      <c r="DDP197" s="28"/>
      <c r="DDQ197" s="28"/>
      <c r="DDR197" s="28"/>
      <c r="DDS197" s="28"/>
      <c r="DDT197" s="28"/>
      <c r="DDU197" s="28"/>
      <c r="DDV197" s="28"/>
      <c r="DDW197" s="28"/>
      <c r="DDX197" s="28"/>
      <c r="DDY197" s="28"/>
      <c r="DDZ197" s="28"/>
      <c r="DEA197" s="28"/>
      <c r="DEB197" s="28"/>
      <c r="DEC197" s="28"/>
      <c r="DED197" s="28"/>
      <c r="DEE197" s="28"/>
      <c r="DEF197" s="28"/>
      <c r="DEG197" s="28"/>
      <c r="DEH197" s="28"/>
      <c r="DEI197" s="28"/>
      <c r="DEJ197" s="28"/>
      <c r="DEK197" s="28"/>
      <c r="DEL197" s="28"/>
      <c r="DEM197" s="28"/>
      <c r="DEN197" s="28"/>
      <c r="DEO197" s="28"/>
      <c r="DEP197" s="28"/>
      <c r="DEQ197" s="28"/>
      <c r="DER197" s="28"/>
      <c r="DES197" s="28"/>
      <c r="DET197" s="28"/>
      <c r="DEU197" s="28"/>
      <c r="DEV197" s="28"/>
      <c r="DEW197" s="28"/>
      <c r="DEX197" s="28"/>
      <c r="DEY197" s="28"/>
      <c r="DEZ197" s="28"/>
      <c r="DFA197" s="28"/>
      <c r="DFB197" s="28"/>
      <c r="DFC197" s="28"/>
      <c r="DFD197" s="28"/>
      <c r="DFE197" s="28"/>
      <c r="DFF197" s="28"/>
      <c r="DFG197" s="28"/>
      <c r="DFH197" s="28"/>
      <c r="DFI197" s="28"/>
      <c r="DFJ197" s="28"/>
      <c r="DFK197" s="28"/>
      <c r="DFL197" s="28"/>
      <c r="DFM197" s="28"/>
      <c r="DFN197" s="28"/>
      <c r="DFO197" s="28"/>
      <c r="DFP197" s="28"/>
      <c r="DFQ197" s="28"/>
      <c r="DFR197" s="28"/>
      <c r="DFS197" s="28"/>
      <c r="DFT197" s="28"/>
      <c r="DFU197" s="28"/>
      <c r="DFV197" s="28"/>
      <c r="DFW197" s="28"/>
      <c r="DFX197" s="28"/>
      <c r="DFY197" s="28"/>
      <c r="DFZ197" s="28"/>
      <c r="DGA197" s="28"/>
      <c r="DGB197" s="28"/>
      <c r="DGC197" s="28"/>
      <c r="DGD197" s="28"/>
      <c r="DGE197" s="28"/>
      <c r="DGF197" s="28"/>
      <c r="DGG197" s="28"/>
      <c r="DGH197" s="28"/>
      <c r="DGI197" s="28"/>
      <c r="DGJ197" s="28"/>
      <c r="DGK197" s="28"/>
      <c r="DGL197" s="28"/>
      <c r="DGM197" s="28"/>
      <c r="DGN197" s="28"/>
      <c r="DGO197" s="28"/>
      <c r="DGP197" s="28"/>
      <c r="DGQ197" s="28"/>
      <c r="DGR197" s="28"/>
      <c r="DGS197" s="28"/>
      <c r="DGT197" s="28"/>
      <c r="DGU197" s="28"/>
      <c r="DGV197" s="28"/>
      <c r="DGW197" s="28"/>
      <c r="DGX197" s="28"/>
      <c r="DGY197" s="28"/>
      <c r="DGZ197" s="28"/>
      <c r="DHA197" s="28"/>
      <c r="DHB197" s="28"/>
      <c r="DHC197" s="28"/>
      <c r="DHD197" s="28"/>
      <c r="DHE197" s="28"/>
      <c r="DHF197" s="28"/>
      <c r="DHG197" s="28"/>
      <c r="DHH197" s="28"/>
      <c r="DHI197" s="28"/>
      <c r="DHJ197" s="28"/>
      <c r="DHK197" s="28"/>
      <c r="DHL197" s="28"/>
      <c r="DHM197" s="28"/>
      <c r="DHN197" s="28"/>
      <c r="DHO197" s="28"/>
      <c r="DHP197" s="28"/>
      <c r="DHQ197" s="28"/>
      <c r="DHR197" s="28"/>
      <c r="DHS197" s="28"/>
      <c r="DHT197" s="28"/>
      <c r="DHU197" s="28"/>
      <c r="DHV197" s="28"/>
      <c r="DHW197" s="28"/>
      <c r="DHX197" s="28"/>
      <c r="DHY197" s="28"/>
      <c r="DHZ197" s="28"/>
      <c r="DIA197" s="28"/>
      <c r="DIB197" s="28"/>
      <c r="DIC197" s="28"/>
      <c r="DID197" s="28"/>
      <c r="DIE197" s="28"/>
      <c r="DIF197" s="28"/>
      <c r="DIG197" s="28"/>
      <c r="DIH197" s="28"/>
      <c r="DII197" s="28"/>
      <c r="DIJ197" s="28"/>
      <c r="DIK197" s="28"/>
      <c r="DIL197" s="28"/>
      <c r="DIM197" s="28"/>
      <c r="DIN197" s="28"/>
      <c r="DIO197" s="28"/>
      <c r="DIP197" s="28"/>
      <c r="DIQ197" s="28"/>
      <c r="DIR197" s="28"/>
      <c r="DIS197" s="28"/>
      <c r="DIT197" s="28"/>
      <c r="DIU197" s="28"/>
      <c r="DIV197" s="28"/>
      <c r="DIW197" s="28"/>
      <c r="DIX197" s="28"/>
      <c r="DIY197" s="28"/>
      <c r="DIZ197" s="28"/>
      <c r="DJA197" s="28"/>
      <c r="DJB197" s="28"/>
      <c r="DJC197" s="28"/>
      <c r="DJD197" s="28"/>
      <c r="DJE197" s="28"/>
      <c r="DJF197" s="28"/>
      <c r="DJG197" s="28"/>
      <c r="DJH197" s="28"/>
      <c r="DJI197" s="28"/>
      <c r="DJJ197" s="28"/>
      <c r="DJK197" s="28"/>
      <c r="DJL197" s="28"/>
      <c r="DJM197" s="28"/>
      <c r="DJN197" s="28"/>
      <c r="DJO197" s="28"/>
      <c r="DJP197" s="28"/>
      <c r="DJQ197" s="28"/>
      <c r="DJR197" s="28"/>
      <c r="DJS197" s="28"/>
      <c r="DJT197" s="28"/>
      <c r="DJU197" s="28"/>
      <c r="DJV197" s="28"/>
      <c r="DJW197" s="28"/>
      <c r="DJX197" s="28"/>
      <c r="DJY197" s="28"/>
      <c r="DJZ197" s="28"/>
      <c r="DKA197" s="28"/>
      <c r="DKB197" s="28"/>
      <c r="DKC197" s="28"/>
      <c r="DKD197" s="28"/>
      <c r="DKE197" s="28"/>
      <c r="DKF197" s="28"/>
      <c r="DKG197" s="28"/>
      <c r="DKH197" s="28"/>
      <c r="DKI197" s="28"/>
      <c r="DKJ197" s="28"/>
      <c r="DKK197" s="28"/>
      <c r="DKL197" s="28"/>
      <c r="DKM197" s="28"/>
      <c r="DKN197" s="28"/>
      <c r="DKO197" s="28"/>
      <c r="DKP197" s="28"/>
      <c r="DKQ197" s="28"/>
      <c r="DKR197" s="28"/>
      <c r="DKS197" s="28"/>
      <c r="DKT197" s="28"/>
      <c r="DKU197" s="28"/>
      <c r="DKV197" s="28"/>
      <c r="DKW197" s="28"/>
      <c r="DKX197" s="28"/>
      <c r="DKY197" s="28"/>
      <c r="DKZ197" s="28"/>
      <c r="DLA197" s="28"/>
      <c r="DLB197" s="28"/>
      <c r="DLC197" s="28"/>
      <c r="DLD197" s="28"/>
      <c r="DLE197" s="28"/>
      <c r="DLF197" s="28"/>
      <c r="DLG197" s="28"/>
      <c r="DLH197" s="28"/>
      <c r="DLI197" s="28"/>
      <c r="DLJ197" s="28"/>
      <c r="DLK197" s="28"/>
      <c r="DLL197" s="28"/>
      <c r="DLM197" s="28"/>
      <c r="DLN197" s="28"/>
      <c r="DLO197" s="28"/>
      <c r="DLP197" s="28"/>
      <c r="DLQ197" s="28"/>
      <c r="DLR197" s="28"/>
      <c r="DLS197" s="28"/>
      <c r="DLT197" s="28"/>
      <c r="DLU197" s="28"/>
      <c r="DLV197" s="28"/>
      <c r="DLW197" s="28"/>
      <c r="DLX197" s="28"/>
      <c r="DLY197" s="28"/>
      <c r="DLZ197" s="28"/>
      <c r="DMA197" s="28"/>
      <c r="DMB197" s="28"/>
      <c r="DMC197" s="28"/>
      <c r="DMD197" s="28"/>
      <c r="DME197" s="28"/>
      <c r="DMF197" s="28"/>
      <c r="DMG197" s="28"/>
      <c r="DMH197" s="28"/>
      <c r="DMI197" s="28"/>
      <c r="DMJ197" s="28"/>
      <c r="DMK197" s="28"/>
      <c r="DML197" s="28"/>
      <c r="DMM197" s="28"/>
      <c r="DMN197" s="28"/>
      <c r="DMO197" s="28"/>
      <c r="DMP197" s="28"/>
      <c r="DMQ197" s="28"/>
      <c r="DMR197" s="28"/>
      <c r="DMS197" s="28"/>
      <c r="DMT197" s="28"/>
      <c r="DMU197" s="28"/>
      <c r="DMV197" s="28"/>
      <c r="DMW197" s="28"/>
      <c r="DMX197" s="28"/>
      <c r="DMY197" s="28"/>
      <c r="DMZ197" s="28"/>
      <c r="DNA197" s="28"/>
      <c r="DNB197" s="28"/>
      <c r="DNC197" s="28"/>
      <c r="DND197" s="28"/>
      <c r="DNE197" s="28"/>
      <c r="DNF197" s="28"/>
      <c r="DNG197" s="28"/>
      <c r="DNH197" s="28"/>
      <c r="DNI197" s="28"/>
      <c r="DNJ197" s="28"/>
      <c r="DNK197" s="28"/>
      <c r="DNL197" s="28"/>
      <c r="DNM197" s="28"/>
      <c r="DNN197" s="28"/>
      <c r="DNO197" s="28"/>
      <c r="DNP197" s="28"/>
      <c r="DNQ197" s="28"/>
      <c r="DNR197" s="28"/>
      <c r="DNS197" s="28"/>
      <c r="DNT197" s="28"/>
      <c r="DNU197" s="28"/>
      <c r="DNV197" s="28"/>
      <c r="DNW197" s="28"/>
      <c r="DNX197" s="28"/>
      <c r="DNY197" s="28"/>
      <c r="DNZ197" s="28"/>
      <c r="DOA197" s="28"/>
      <c r="DOB197" s="28"/>
      <c r="DOC197" s="28"/>
      <c r="DOD197" s="28"/>
      <c r="DOE197" s="28"/>
      <c r="DOF197" s="28"/>
      <c r="DOG197" s="28"/>
      <c r="DOH197" s="28"/>
      <c r="DOI197" s="28"/>
      <c r="DOJ197" s="28"/>
      <c r="DOK197" s="28"/>
      <c r="DOL197" s="28"/>
      <c r="DOM197" s="28"/>
      <c r="DON197" s="28"/>
      <c r="DOO197" s="28"/>
      <c r="DOP197" s="28"/>
      <c r="DOQ197" s="28"/>
      <c r="DOR197" s="28"/>
      <c r="DOS197" s="28"/>
      <c r="DOT197" s="28"/>
      <c r="DOU197" s="28"/>
      <c r="DOV197" s="28"/>
      <c r="DOW197" s="28"/>
      <c r="DOX197" s="28"/>
      <c r="DOY197" s="28"/>
      <c r="DOZ197" s="28"/>
      <c r="DPA197" s="28"/>
      <c r="DPB197" s="28"/>
      <c r="DPC197" s="28"/>
      <c r="DPD197" s="28"/>
      <c r="DPE197" s="28"/>
      <c r="DPF197" s="28"/>
      <c r="DPG197" s="28"/>
      <c r="DPH197" s="28"/>
      <c r="DPI197" s="28"/>
      <c r="DPJ197" s="28"/>
      <c r="DPK197" s="28"/>
      <c r="DPL197" s="28"/>
      <c r="DPM197" s="28"/>
      <c r="DPN197" s="28"/>
      <c r="DPO197" s="28"/>
      <c r="DPP197" s="28"/>
      <c r="DPQ197" s="28"/>
      <c r="DPR197" s="28"/>
      <c r="DPS197" s="28"/>
      <c r="DPT197" s="28"/>
      <c r="DPU197" s="28"/>
      <c r="DPV197" s="28"/>
      <c r="DPW197" s="28"/>
      <c r="DPX197" s="28"/>
      <c r="DPY197" s="28"/>
      <c r="DPZ197" s="28"/>
      <c r="DQA197" s="28"/>
      <c r="DQB197" s="28"/>
      <c r="DQC197" s="28"/>
      <c r="DQD197" s="28"/>
      <c r="DQE197" s="28"/>
      <c r="DQF197" s="28"/>
      <c r="DQG197" s="28"/>
      <c r="DQH197" s="28"/>
      <c r="DQI197" s="28"/>
      <c r="DQJ197" s="28"/>
      <c r="DQK197" s="28"/>
      <c r="DQL197" s="28"/>
      <c r="DQM197" s="28"/>
      <c r="DQN197" s="28"/>
      <c r="DQO197" s="28"/>
      <c r="DQP197" s="28"/>
      <c r="DQQ197" s="28"/>
      <c r="DQR197" s="28"/>
      <c r="DQS197" s="28"/>
      <c r="DQT197" s="28"/>
      <c r="DQU197" s="28"/>
      <c r="DQV197" s="28"/>
      <c r="DQW197" s="28"/>
      <c r="DQX197" s="28"/>
      <c r="DQY197" s="28"/>
      <c r="DQZ197" s="28"/>
      <c r="DRA197" s="28"/>
      <c r="DRB197" s="28"/>
      <c r="DRC197" s="28"/>
      <c r="DRD197" s="28"/>
      <c r="DRE197" s="28"/>
      <c r="DRF197" s="28"/>
      <c r="DRG197" s="28"/>
      <c r="DRH197" s="28"/>
      <c r="DRI197" s="28"/>
      <c r="DRJ197" s="28"/>
      <c r="DRK197" s="28"/>
      <c r="DRL197" s="28"/>
      <c r="DRM197" s="28"/>
      <c r="DRN197" s="28"/>
      <c r="DRO197" s="28"/>
      <c r="DRP197" s="28"/>
      <c r="DRQ197" s="28"/>
      <c r="DRR197" s="28"/>
      <c r="DRS197" s="28"/>
      <c r="DRT197" s="28"/>
      <c r="DRU197" s="28"/>
      <c r="DRV197" s="28"/>
      <c r="DRW197" s="28"/>
      <c r="DRX197" s="28"/>
      <c r="DRY197" s="28"/>
      <c r="DRZ197" s="28"/>
      <c r="DSA197" s="28"/>
      <c r="DSB197" s="28"/>
      <c r="DSC197" s="28"/>
      <c r="DSD197" s="28"/>
      <c r="DSE197" s="28"/>
      <c r="DSF197" s="28"/>
      <c r="DSG197" s="28"/>
      <c r="DSH197" s="28"/>
      <c r="DSI197" s="28"/>
      <c r="DSJ197" s="28"/>
      <c r="DSK197" s="28"/>
      <c r="DSL197" s="28"/>
      <c r="DSM197" s="28"/>
      <c r="DSN197" s="28"/>
      <c r="DSO197" s="28"/>
      <c r="DSP197" s="28"/>
      <c r="DSQ197" s="28"/>
      <c r="DSR197" s="28"/>
      <c r="DSS197" s="28"/>
      <c r="DST197" s="28"/>
      <c r="DSU197" s="28"/>
      <c r="DSV197" s="28"/>
      <c r="DSW197" s="28"/>
      <c r="DSX197" s="28"/>
      <c r="DSY197" s="28"/>
      <c r="DSZ197" s="28"/>
      <c r="DTA197" s="28"/>
      <c r="DTB197" s="28"/>
      <c r="DTC197" s="28"/>
      <c r="DTD197" s="28"/>
      <c r="DTE197" s="28"/>
      <c r="DTF197" s="28"/>
      <c r="DTG197" s="28"/>
      <c r="DTH197" s="28"/>
      <c r="DTI197" s="28"/>
      <c r="DTJ197" s="28"/>
      <c r="DTK197" s="28"/>
      <c r="DTL197" s="28"/>
      <c r="DTM197" s="28"/>
      <c r="DTN197" s="28"/>
      <c r="DTO197" s="28"/>
      <c r="DTP197" s="28"/>
      <c r="DTQ197" s="28"/>
      <c r="DTR197" s="28"/>
      <c r="DTS197" s="28"/>
      <c r="DTT197" s="28"/>
      <c r="DTU197" s="28"/>
      <c r="DTV197" s="28"/>
      <c r="DTW197" s="28"/>
      <c r="DTX197" s="28"/>
      <c r="DTY197" s="28"/>
      <c r="DTZ197" s="28"/>
      <c r="DUA197" s="28"/>
      <c r="DUB197" s="28"/>
      <c r="DUC197" s="28"/>
      <c r="DUD197" s="28"/>
      <c r="DUE197" s="28"/>
      <c r="DUF197" s="28"/>
      <c r="DUG197" s="28"/>
      <c r="DUH197" s="28"/>
      <c r="DUI197" s="28"/>
      <c r="DUJ197" s="28"/>
      <c r="DUK197" s="28"/>
      <c r="DUL197" s="28"/>
      <c r="DUM197" s="28"/>
      <c r="DUN197" s="28"/>
      <c r="DUO197" s="28"/>
      <c r="DUP197" s="28"/>
      <c r="DUQ197" s="28"/>
      <c r="DUR197" s="28"/>
      <c r="DUS197" s="28"/>
      <c r="DUT197" s="28"/>
      <c r="DUU197" s="28"/>
      <c r="DUV197" s="28"/>
      <c r="DUW197" s="28"/>
      <c r="DUX197" s="28"/>
      <c r="DUY197" s="28"/>
      <c r="DUZ197" s="28"/>
      <c r="DVA197" s="28"/>
      <c r="DVB197" s="28"/>
      <c r="DVC197" s="28"/>
      <c r="DVD197" s="28"/>
      <c r="DVE197" s="28"/>
      <c r="DVF197" s="28"/>
      <c r="DVG197" s="28"/>
      <c r="DVH197" s="28"/>
      <c r="DVI197" s="28"/>
      <c r="DVJ197" s="28"/>
      <c r="DVK197" s="28"/>
      <c r="DVL197" s="28"/>
      <c r="DVM197" s="28"/>
      <c r="DVN197" s="28"/>
      <c r="DVO197" s="28"/>
      <c r="DVP197" s="28"/>
      <c r="DVQ197" s="28"/>
      <c r="DVR197" s="28"/>
      <c r="DVS197" s="28"/>
      <c r="DVT197" s="28"/>
      <c r="DVU197" s="28"/>
      <c r="DVV197" s="28"/>
      <c r="DVW197" s="28"/>
      <c r="DVX197" s="28"/>
      <c r="DVY197" s="28"/>
      <c r="DVZ197" s="28"/>
      <c r="DWA197" s="28"/>
      <c r="DWB197" s="28"/>
      <c r="DWC197" s="28"/>
      <c r="DWD197" s="28"/>
      <c r="DWE197" s="28"/>
      <c r="DWF197" s="28"/>
      <c r="DWG197" s="28"/>
      <c r="DWH197" s="28"/>
      <c r="DWI197" s="28"/>
      <c r="DWJ197" s="28"/>
      <c r="DWK197" s="28"/>
      <c r="DWL197" s="28"/>
      <c r="DWM197" s="28"/>
      <c r="DWN197" s="28"/>
      <c r="DWO197" s="28"/>
      <c r="DWP197" s="28"/>
      <c r="DWQ197" s="28"/>
      <c r="DWR197" s="28"/>
      <c r="DWS197" s="28"/>
      <c r="DWT197" s="28"/>
      <c r="DWU197" s="28"/>
      <c r="DWV197" s="28"/>
      <c r="DWW197" s="28"/>
      <c r="DWX197" s="28"/>
      <c r="DWY197" s="28"/>
      <c r="DWZ197" s="28"/>
      <c r="DXA197" s="28"/>
      <c r="DXB197" s="28"/>
      <c r="DXC197" s="28"/>
      <c r="DXD197" s="28"/>
      <c r="DXE197" s="28"/>
      <c r="DXF197" s="28"/>
      <c r="DXG197" s="28"/>
      <c r="DXH197" s="28"/>
      <c r="DXI197" s="28"/>
      <c r="DXJ197" s="28"/>
      <c r="DXK197" s="28"/>
      <c r="DXL197" s="28"/>
      <c r="DXM197" s="28"/>
      <c r="DXN197" s="28"/>
      <c r="DXO197" s="28"/>
      <c r="DXP197" s="28"/>
      <c r="DXQ197" s="28"/>
      <c r="DXR197" s="28"/>
      <c r="DXS197" s="28"/>
      <c r="DXT197" s="28"/>
      <c r="DXU197" s="28"/>
      <c r="DXV197" s="28"/>
      <c r="DXW197" s="28"/>
      <c r="DXX197" s="28"/>
      <c r="DXY197" s="28"/>
      <c r="DXZ197" s="28"/>
      <c r="DYA197" s="28"/>
      <c r="DYB197" s="28"/>
      <c r="DYC197" s="28"/>
      <c r="DYD197" s="28"/>
      <c r="DYE197" s="28"/>
      <c r="DYF197" s="28"/>
      <c r="DYG197" s="28"/>
      <c r="DYH197" s="28"/>
      <c r="DYI197" s="28"/>
      <c r="DYJ197" s="28"/>
      <c r="DYK197" s="28"/>
      <c r="DYL197" s="28"/>
      <c r="DYM197" s="28"/>
      <c r="DYN197" s="28"/>
      <c r="DYO197" s="28"/>
      <c r="DYP197" s="28"/>
      <c r="DYQ197" s="28"/>
      <c r="DYR197" s="28"/>
      <c r="DYS197" s="28"/>
      <c r="DYT197" s="28"/>
      <c r="DYU197" s="28"/>
      <c r="DYV197" s="28"/>
      <c r="DYW197" s="28"/>
      <c r="DYX197" s="28"/>
      <c r="DYY197" s="28"/>
      <c r="DYZ197" s="28"/>
      <c r="DZA197" s="28"/>
      <c r="DZB197" s="28"/>
      <c r="DZC197" s="28"/>
      <c r="DZD197" s="28"/>
      <c r="DZE197" s="28"/>
      <c r="DZF197" s="28"/>
      <c r="DZG197" s="28"/>
      <c r="DZH197" s="28"/>
      <c r="DZI197" s="28"/>
      <c r="DZJ197" s="28"/>
      <c r="DZK197" s="28"/>
      <c r="DZL197" s="28"/>
      <c r="DZM197" s="28"/>
      <c r="DZN197" s="28"/>
      <c r="DZO197" s="28"/>
      <c r="DZP197" s="28"/>
      <c r="DZQ197" s="28"/>
      <c r="DZR197" s="28"/>
      <c r="DZS197" s="28"/>
      <c r="DZT197" s="28"/>
      <c r="DZU197" s="28"/>
      <c r="DZV197" s="28"/>
      <c r="DZW197" s="28"/>
      <c r="DZX197" s="28"/>
      <c r="DZY197" s="28"/>
      <c r="DZZ197" s="28"/>
      <c r="EAA197" s="28"/>
      <c r="EAB197" s="28"/>
      <c r="EAC197" s="28"/>
      <c r="EAD197" s="28"/>
      <c r="EAE197" s="28"/>
      <c r="EAF197" s="28"/>
      <c r="EAG197" s="28"/>
      <c r="EAH197" s="28"/>
      <c r="EAI197" s="28"/>
      <c r="EAJ197" s="28"/>
      <c r="EAK197" s="28"/>
      <c r="EAL197" s="28"/>
      <c r="EAM197" s="28"/>
      <c r="EAN197" s="28"/>
      <c r="EAO197" s="28"/>
      <c r="EAP197" s="28"/>
      <c r="EAQ197" s="28"/>
      <c r="EAR197" s="28"/>
      <c r="EAS197" s="28"/>
      <c r="EAT197" s="28"/>
      <c r="EAU197" s="28"/>
      <c r="EAV197" s="28"/>
      <c r="EAW197" s="28"/>
      <c r="EAX197" s="28"/>
      <c r="EAY197" s="28"/>
      <c r="EAZ197" s="28"/>
      <c r="EBA197" s="28"/>
      <c r="EBB197" s="28"/>
      <c r="EBC197" s="28"/>
      <c r="EBD197" s="28"/>
      <c r="EBE197" s="28"/>
      <c r="EBF197" s="28"/>
      <c r="EBG197" s="28"/>
      <c r="EBH197" s="28"/>
      <c r="EBI197" s="28"/>
      <c r="EBJ197" s="28"/>
      <c r="EBK197" s="28"/>
      <c r="EBL197" s="28"/>
      <c r="EBM197" s="28"/>
      <c r="EBN197" s="28"/>
      <c r="EBO197" s="28"/>
      <c r="EBP197" s="28"/>
      <c r="EBQ197" s="28"/>
      <c r="EBR197" s="28"/>
      <c r="EBS197" s="28"/>
      <c r="EBT197" s="28"/>
      <c r="EBU197" s="28"/>
      <c r="EBV197" s="28"/>
      <c r="EBW197" s="28"/>
      <c r="EBX197" s="28"/>
      <c r="EBY197" s="28"/>
      <c r="EBZ197" s="28"/>
      <c r="ECA197" s="28"/>
      <c r="ECB197" s="28"/>
      <c r="ECC197" s="28"/>
      <c r="ECD197" s="28"/>
      <c r="ECE197" s="28"/>
      <c r="ECF197" s="28"/>
      <c r="ECG197" s="28"/>
      <c r="ECH197" s="28"/>
      <c r="ECI197" s="28"/>
      <c r="ECJ197" s="28"/>
      <c r="ECK197" s="28"/>
      <c r="ECL197" s="28"/>
      <c r="ECM197" s="28"/>
      <c r="ECN197" s="28"/>
      <c r="ECO197" s="28"/>
      <c r="ECP197" s="28"/>
      <c r="ECQ197" s="28"/>
      <c r="ECR197" s="28"/>
      <c r="ECS197" s="28"/>
      <c r="ECT197" s="28"/>
      <c r="ECU197" s="28"/>
      <c r="ECV197" s="28"/>
      <c r="ECW197" s="28"/>
      <c r="ECX197" s="28"/>
      <c r="ECY197" s="28"/>
      <c r="ECZ197" s="28"/>
      <c r="EDA197" s="28"/>
      <c r="EDB197" s="28"/>
      <c r="EDC197" s="28"/>
      <c r="EDD197" s="28"/>
      <c r="EDE197" s="28"/>
      <c r="EDF197" s="28"/>
      <c r="EDG197" s="28"/>
      <c r="EDH197" s="28"/>
      <c r="EDI197" s="28"/>
      <c r="EDJ197" s="28"/>
      <c r="EDK197" s="28"/>
      <c r="EDL197" s="28"/>
      <c r="EDM197" s="28"/>
      <c r="EDN197" s="28"/>
      <c r="EDO197" s="28"/>
      <c r="EDP197" s="28"/>
      <c r="EDQ197" s="28"/>
      <c r="EDR197" s="28"/>
      <c r="EDS197" s="28"/>
      <c r="EDT197" s="28"/>
      <c r="EDU197" s="28"/>
      <c r="EDV197" s="28"/>
      <c r="EDW197" s="28"/>
      <c r="EDX197" s="28"/>
      <c r="EDY197" s="28"/>
      <c r="EDZ197" s="28"/>
      <c r="EEA197" s="28"/>
      <c r="EEB197" s="28"/>
      <c r="EEC197" s="28"/>
      <c r="EED197" s="28"/>
      <c r="EEE197" s="28"/>
      <c r="EEF197" s="28"/>
      <c r="EEG197" s="28"/>
      <c r="EEH197" s="28"/>
      <c r="EEI197" s="28"/>
      <c r="EEJ197" s="28"/>
      <c r="EEK197" s="28"/>
      <c r="EEL197" s="28"/>
      <c r="EEM197" s="28"/>
      <c r="EEN197" s="28"/>
      <c r="EEO197" s="28"/>
      <c r="EEP197" s="28"/>
      <c r="EEQ197" s="28"/>
      <c r="EER197" s="28"/>
      <c r="EES197" s="28"/>
      <c r="EET197" s="28"/>
      <c r="EEU197" s="28"/>
      <c r="EEV197" s="28"/>
      <c r="EEW197" s="28"/>
      <c r="EEX197" s="28"/>
      <c r="EEY197" s="28"/>
      <c r="EEZ197" s="28"/>
      <c r="EFA197" s="28"/>
      <c r="EFB197" s="28"/>
      <c r="EFC197" s="28"/>
      <c r="EFD197" s="28"/>
      <c r="EFE197" s="28"/>
      <c r="EFF197" s="28"/>
      <c r="EFG197" s="28"/>
      <c r="EFH197" s="28"/>
      <c r="EFI197" s="28"/>
      <c r="EFJ197" s="28"/>
      <c r="EFK197" s="28"/>
      <c r="EFL197" s="28"/>
      <c r="EFM197" s="28"/>
      <c r="EFN197" s="28"/>
      <c r="EFO197" s="28"/>
      <c r="EFP197" s="28"/>
      <c r="EFQ197" s="28"/>
      <c r="EFR197" s="28"/>
      <c r="EFS197" s="28"/>
      <c r="EFT197" s="28"/>
      <c r="EFU197" s="28"/>
      <c r="EFV197" s="28"/>
      <c r="EFW197" s="28"/>
      <c r="EFX197" s="28"/>
      <c r="EFY197" s="28"/>
      <c r="EFZ197" s="28"/>
      <c r="EGA197" s="28"/>
      <c r="EGB197" s="28"/>
      <c r="EGC197" s="28"/>
      <c r="EGD197" s="28"/>
      <c r="EGE197" s="28"/>
      <c r="EGF197" s="28"/>
      <c r="EGG197" s="28"/>
      <c r="EGH197" s="28"/>
      <c r="EGI197" s="28"/>
      <c r="EGJ197" s="28"/>
      <c r="EGK197" s="28"/>
      <c r="EGL197" s="28"/>
      <c r="EGM197" s="28"/>
      <c r="EGN197" s="28"/>
      <c r="EGO197" s="28"/>
      <c r="EGP197" s="28"/>
      <c r="EGQ197" s="28"/>
      <c r="EGR197" s="28"/>
      <c r="EGS197" s="28"/>
      <c r="EGT197" s="28"/>
      <c r="EGU197" s="28"/>
      <c r="EGV197" s="28"/>
      <c r="EGW197" s="28"/>
      <c r="EGX197" s="28"/>
      <c r="EGY197" s="28"/>
      <c r="EGZ197" s="28"/>
      <c r="EHA197" s="28"/>
      <c r="EHB197" s="28"/>
      <c r="EHC197" s="28"/>
      <c r="EHD197" s="28"/>
      <c r="EHE197" s="28"/>
      <c r="EHF197" s="28"/>
      <c r="EHG197" s="28"/>
      <c r="EHH197" s="28"/>
      <c r="EHI197" s="28"/>
      <c r="EHJ197" s="28"/>
      <c r="EHK197" s="28"/>
      <c r="EHL197" s="28"/>
      <c r="EHM197" s="28"/>
      <c r="EHN197" s="28"/>
      <c r="EHO197" s="28"/>
      <c r="EHP197" s="28"/>
      <c r="EHQ197" s="28"/>
      <c r="EHR197" s="28"/>
      <c r="EHS197" s="28"/>
      <c r="EHT197" s="28"/>
      <c r="EHU197" s="28"/>
      <c r="EHV197" s="28"/>
      <c r="EHW197" s="28"/>
      <c r="EHX197" s="28"/>
      <c r="EHY197" s="28"/>
      <c r="EHZ197" s="28"/>
      <c r="EIA197" s="28"/>
      <c r="EIB197" s="28"/>
      <c r="EIC197" s="28"/>
      <c r="EID197" s="28"/>
      <c r="EIE197" s="28"/>
      <c r="EIF197" s="28"/>
      <c r="EIG197" s="28"/>
      <c r="EIH197" s="28"/>
      <c r="EII197" s="28"/>
      <c r="EIJ197" s="28"/>
      <c r="EIK197" s="28"/>
      <c r="EIL197" s="28"/>
      <c r="EIM197" s="28"/>
      <c r="EIN197" s="28"/>
      <c r="EIO197" s="28"/>
      <c r="EIP197" s="28"/>
      <c r="EIQ197" s="28"/>
      <c r="EIR197" s="28"/>
      <c r="EIS197" s="28"/>
      <c r="EIT197" s="28"/>
      <c r="EIU197" s="28"/>
      <c r="EIV197" s="28"/>
      <c r="EIW197" s="28"/>
      <c r="EIX197" s="28"/>
      <c r="EIY197" s="28"/>
      <c r="EIZ197" s="28"/>
      <c r="EJA197" s="28"/>
      <c r="EJB197" s="28"/>
      <c r="EJC197" s="28"/>
      <c r="EJD197" s="28"/>
      <c r="EJE197" s="28"/>
      <c r="EJF197" s="28"/>
      <c r="EJG197" s="28"/>
      <c r="EJH197" s="28"/>
      <c r="EJI197" s="28"/>
      <c r="EJJ197" s="28"/>
      <c r="EJK197" s="28"/>
      <c r="EJL197" s="28"/>
      <c r="EJM197" s="28"/>
      <c r="EJN197" s="28"/>
      <c r="EJO197" s="28"/>
      <c r="EJP197" s="28"/>
      <c r="EJQ197" s="28"/>
      <c r="EJR197" s="28"/>
      <c r="EJS197" s="28"/>
      <c r="EJT197" s="28"/>
      <c r="EJU197" s="28"/>
      <c r="EJV197" s="28"/>
      <c r="EJW197" s="28"/>
      <c r="EJX197" s="28"/>
      <c r="EJY197" s="28"/>
      <c r="EJZ197" s="28"/>
      <c r="EKA197" s="28"/>
      <c r="EKB197" s="28"/>
      <c r="EKC197" s="28"/>
      <c r="EKD197" s="28"/>
      <c r="EKE197" s="28"/>
      <c r="EKF197" s="28"/>
      <c r="EKG197" s="28"/>
      <c r="EKH197" s="28"/>
      <c r="EKI197" s="28"/>
      <c r="EKJ197" s="28"/>
      <c r="EKK197" s="28"/>
      <c r="EKL197" s="28"/>
      <c r="EKM197" s="28"/>
      <c r="EKN197" s="28"/>
      <c r="EKO197" s="28"/>
      <c r="EKP197" s="28"/>
      <c r="EKQ197" s="28"/>
      <c r="EKR197" s="28"/>
      <c r="EKS197" s="28"/>
      <c r="EKT197" s="28"/>
      <c r="EKU197" s="28"/>
      <c r="EKV197" s="28"/>
      <c r="EKW197" s="28"/>
      <c r="EKX197" s="28"/>
      <c r="EKY197" s="28"/>
      <c r="EKZ197" s="28"/>
      <c r="ELA197" s="28"/>
      <c r="ELB197" s="28"/>
      <c r="ELC197" s="28"/>
      <c r="ELD197" s="28"/>
      <c r="ELE197" s="28"/>
      <c r="ELF197" s="28"/>
      <c r="ELG197" s="28"/>
      <c r="ELH197" s="28"/>
      <c r="ELI197" s="28"/>
      <c r="ELJ197" s="28"/>
      <c r="ELK197" s="28"/>
      <c r="ELL197" s="28"/>
      <c r="ELM197" s="28"/>
      <c r="ELN197" s="28"/>
      <c r="ELO197" s="28"/>
      <c r="ELP197" s="28"/>
      <c r="ELQ197" s="28"/>
      <c r="ELR197" s="28"/>
      <c r="ELS197" s="28"/>
      <c r="ELT197" s="28"/>
      <c r="ELU197" s="28"/>
      <c r="ELV197" s="28"/>
      <c r="ELW197" s="28"/>
      <c r="ELX197" s="28"/>
      <c r="ELY197" s="28"/>
      <c r="ELZ197" s="28"/>
      <c r="EMA197" s="28"/>
      <c r="EMB197" s="28"/>
      <c r="EMC197" s="28"/>
      <c r="EMD197" s="28"/>
      <c r="EME197" s="28"/>
      <c r="EMF197" s="28"/>
      <c r="EMG197" s="28"/>
      <c r="EMH197" s="28"/>
      <c r="EMI197" s="28"/>
      <c r="EMJ197" s="28"/>
      <c r="EMK197" s="28"/>
      <c r="EML197" s="28"/>
      <c r="EMM197" s="28"/>
      <c r="EMN197" s="28"/>
      <c r="EMO197" s="28"/>
      <c r="EMP197" s="28"/>
      <c r="EMQ197" s="28"/>
      <c r="EMR197" s="28"/>
      <c r="EMS197" s="28"/>
      <c r="EMT197" s="28"/>
      <c r="EMU197" s="28"/>
      <c r="EMV197" s="28"/>
      <c r="EMW197" s="28"/>
      <c r="EMX197" s="28"/>
      <c r="EMY197" s="28"/>
      <c r="EMZ197" s="28"/>
      <c r="ENA197" s="28"/>
      <c r="ENB197" s="28"/>
      <c r="ENC197" s="28"/>
      <c r="END197" s="28"/>
      <c r="ENE197" s="28"/>
      <c r="ENF197" s="28"/>
      <c r="ENG197" s="28"/>
      <c r="ENH197" s="28"/>
      <c r="ENI197" s="28"/>
      <c r="ENJ197" s="28"/>
      <c r="ENK197" s="28"/>
      <c r="ENL197" s="28"/>
      <c r="ENM197" s="28"/>
      <c r="ENN197" s="28"/>
      <c r="ENO197" s="28"/>
      <c r="ENP197" s="28"/>
      <c r="ENQ197" s="28"/>
      <c r="ENR197" s="28"/>
      <c r="ENS197" s="28"/>
      <c r="ENT197" s="28"/>
      <c r="ENU197" s="28"/>
      <c r="ENV197" s="28"/>
      <c r="ENW197" s="28"/>
      <c r="ENX197" s="28"/>
      <c r="ENY197" s="28"/>
      <c r="ENZ197" s="28"/>
      <c r="EOA197" s="28"/>
      <c r="EOB197" s="28"/>
      <c r="EOC197" s="28"/>
      <c r="EOD197" s="28"/>
      <c r="EOE197" s="28"/>
      <c r="EOF197" s="28"/>
      <c r="EOG197" s="28"/>
      <c r="EOH197" s="28"/>
      <c r="EOI197" s="28"/>
      <c r="EOJ197" s="28"/>
      <c r="EOK197" s="28"/>
      <c r="EOL197" s="28"/>
      <c r="EOM197" s="28"/>
      <c r="EON197" s="28"/>
      <c r="EOO197" s="28"/>
      <c r="EOP197" s="28"/>
      <c r="EOQ197" s="28"/>
      <c r="EOR197" s="28"/>
      <c r="EOS197" s="28"/>
      <c r="EOT197" s="28"/>
      <c r="EOU197" s="28"/>
      <c r="EOV197" s="28"/>
      <c r="EOW197" s="28"/>
      <c r="EOX197" s="28"/>
      <c r="EOY197" s="28"/>
      <c r="EOZ197" s="28"/>
      <c r="EPA197" s="28"/>
      <c r="EPB197" s="28"/>
      <c r="EPC197" s="28"/>
      <c r="EPD197" s="28"/>
      <c r="EPE197" s="28"/>
      <c r="EPF197" s="28"/>
      <c r="EPG197" s="28"/>
      <c r="EPH197" s="28"/>
      <c r="EPI197" s="28"/>
      <c r="EPJ197" s="28"/>
      <c r="EPK197" s="28"/>
      <c r="EPL197" s="28"/>
      <c r="EPM197" s="28"/>
      <c r="EPN197" s="28"/>
      <c r="EPO197" s="28"/>
      <c r="EPP197" s="28"/>
      <c r="EPQ197" s="28"/>
      <c r="EPR197" s="28"/>
      <c r="EPS197" s="28"/>
      <c r="EPT197" s="28"/>
      <c r="EPU197" s="28"/>
      <c r="EPV197" s="28"/>
      <c r="EPW197" s="28"/>
      <c r="EPX197" s="28"/>
      <c r="EPY197" s="28"/>
      <c r="EPZ197" s="28"/>
      <c r="EQA197" s="28"/>
      <c r="EQB197" s="28"/>
      <c r="EQC197" s="28"/>
      <c r="EQD197" s="28"/>
      <c r="EQE197" s="28"/>
      <c r="EQF197" s="28"/>
      <c r="EQG197" s="28"/>
      <c r="EQH197" s="28"/>
      <c r="EQI197" s="28"/>
      <c r="EQJ197" s="28"/>
      <c r="EQK197" s="28"/>
      <c r="EQL197" s="28"/>
      <c r="EQM197" s="28"/>
      <c r="EQN197" s="28"/>
      <c r="EQO197" s="28"/>
      <c r="EQP197" s="28"/>
      <c r="EQQ197" s="28"/>
      <c r="EQR197" s="28"/>
      <c r="EQS197" s="28"/>
      <c r="EQT197" s="28"/>
      <c r="EQU197" s="28"/>
      <c r="EQV197" s="28"/>
      <c r="EQW197" s="28"/>
      <c r="EQX197" s="28"/>
      <c r="EQY197" s="28"/>
      <c r="EQZ197" s="28"/>
      <c r="ERA197" s="28"/>
      <c r="ERB197" s="28"/>
      <c r="ERC197" s="28"/>
      <c r="ERD197" s="28"/>
      <c r="ERE197" s="28"/>
      <c r="ERF197" s="28"/>
      <c r="ERG197" s="28"/>
      <c r="ERH197" s="28"/>
      <c r="ERI197" s="28"/>
      <c r="ERJ197" s="28"/>
      <c r="ERK197" s="28"/>
      <c r="ERL197" s="28"/>
      <c r="ERM197" s="28"/>
      <c r="ERN197" s="28"/>
      <c r="ERO197" s="28"/>
      <c r="ERP197" s="28"/>
      <c r="ERQ197" s="28"/>
      <c r="ERR197" s="28"/>
      <c r="ERS197" s="28"/>
      <c r="ERT197" s="28"/>
      <c r="ERU197" s="28"/>
      <c r="ERV197" s="28"/>
      <c r="ERW197" s="28"/>
      <c r="ERX197" s="28"/>
      <c r="ERY197" s="28"/>
      <c r="ERZ197" s="28"/>
      <c r="ESA197" s="28"/>
      <c r="ESB197" s="28"/>
      <c r="ESC197" s="28"/>
      <c r="ESD197" s="28"/>
      <c r="ESE197" s="28"/>
      <c r="ESF197" s="28"/>
      <c r="ESG197" s="28"/>
      <c r="ESH197" s="28"/>
      <c r="ESI197" s="28"/>
      <c r="ESJ197" s="28"/>
      <c r="ESK197" s="28"/>
      <c r="ESL197" s="28"/>
      <c r="ESM197" s="28"/>
      <c r="ESN197" s="28"/>
      <c r="ESO197" s="28"/>
      <c r="ESP197" s="28"/>
      <c r="ESQ197" s="28"/>
      <c r="ESR197" s="28"/>
      <c r="ESS197" s="28"/>
      <c r="EST197" s="28"/>
      <c r="ESU197" s="28"/>
      <c r="ESV197" s="28"/>
      <c r="ESW197" s="28"/>
      <c r="ESX197" s="28"/>
      <c r="ESY197" s="28"/>
      <c r="ESZ197" s="28"/>
      <c r="ETA197" s="28"/>
      <c r="ETB197" s="28"/>
      <c r="ETC197" s="28"/>
      <c r="ETD197" s="28"/>
      <c r="ETE197" s="28"/>
      <c r="ETF197" s="28"/>
      <c r="ETG197" s="28"/>
      <c r="ETH197" s="28"/>
      <c r="ETI197" s="28"/>
      <c r="ETJ197" s="28"/>
      <c r="ETK197" s="28"/>
      <c r="ETL197" s="28"/>
      <c r="ETM197" s="28"/>
      <c r="ETN197" s="28"/>
      <c r="ETO197" s="28"/>
      <c r="ETP197" s="28"/>
      <c r="ETQ197" s="28"/>
      <c r="ETR197" s="28"/>
      <c r="ETS197" s="28"/>
      <c r="ETT197" s="28"/>
      <c r="ETU197" s="28"/>
      <c r="ETV197" s="28"/>
      <c r="ETW197" s="28"/>
      <c r="ETX197" s="28"/>
      <c r="ETY197" s="28"/>
      <c r="ETZ197" s="28"/>
      <c r="EUA197" s="28"/>
      <c r="EUB197" s="28"/>
      <c r="EUC197" s="28"/>
      <c r="EUD197" s="28"/>
      <c r="EUE197" s="28"/>
      <c r="EUF197" s="28"/>
      <c r="EUG197" s="28"/>
      <c r="EUH197" s="28"/>
      <c r="EUI197" s="28"/>
      <c r="EUJ197" s="28"/>
      <c r="EUK197" s="28"/>
      <c r="EUL197" s="28"/>
      <c r="EUM197" s="28"/>
      <c r="EUN197" s="28"/>
      <c r="EUO197" s="28"/>
      <c r="EUP197" s="28"/>
      <c r="EUQ197" s="28"/>
      <c r="EUR197" s="28"/>
      <c r="EUS197" s="28"/>
      <c r="EUT197" s="28"/>
      <c r="EUU197" s="28"/>
      <c r="EUV197" s="28"/>
      <c r="EUW197" s="28"/>
      <c r="EUX197" s="28"/>
      <c r="EUY197" s="28"/>
      <c r="EUZ197" s="28"/>
      <c r="EVA197" s="28"/>
      <c r="EVB197" s="28"/>
      <c r="EVC197" s="28"/>
      <c r="EVD197" s="28"/>
      <c r="EVE197" s="28"/>
      <c r="EVF197" s="28"/>
      <c r="EVG197" s="28"/>
      <c r="EVH197" s="28"/>
      <c r="EVI197" s="28"/>
      <c r="EVJ197" s="28"/>
      <c r="EVK197" s="28"/>
      <c r="EVL197" s="28"/>
      <c r="EVM197" s="28"/>
      <c r="EVN197" s="28"/>
      <c r="EVO197" s="28"/>
      <c r="EVP197" s="28"/>
      <c r="EVQ197" s="28"/>
      <c r="EVR197" s="28"/>
      <c r="EVS197" s="28"/>
      <c r="EVT197" s="28"/>
      <c r="EVU197" s="28"/>
      <c r="EVV197" s="28"/>
      <c r="EVW197" s="28"/>
      <c r="EVX197" s="28"/>
      <c r="EVY197" s="28"/>
      <c r="EVZ197" s="28"/>
      <c r="EWA197" s="28"/>
      <c r="EWB197" s="28"/>
      <c r="EWC197" s="28"/>
      <c r="EWD197" s="28"/>
      <c r="EWE197" s="28"/>
      <c r="EWF197" s="28"/>
      <c r="EWG197" s="28"/>
      <c r="EWH197" s="28"/>
      <c r="EWI197" s="28"/>
      <c r="EWJ197" s="28"/>
      <c r="EWK197" s="28"/>
      <c r="EWL197" s="28"/>
      <c r="EWM197" s="28"/>
      <c r="EWN197" s="28"/>
      <c r="EWO197" s="28"/>
      <c r="EWP197" s="28"/>
      <c r="EWQ197" s="28"/>
      <c r="EWR197" s="28"/>
      <c r="EWS197" s="28"/>
      <c r="EWT197" s="28"/>
      <c r="EWU197" s="28"/>
      <c r="EWV197" s="28"/>
      <c r="EWW197" s="28"/>
      <c r="EWX197" s="28"/>
      <c r="EWY197" s="28"/>
      <c r="EWZ197" s="28"/>
      <c r="EXA197" s="28"/>
      <c r="EXB197" s="28"/>
      <c r="EXC197" s="28"/>
      <c r="EXD197" s="28"/>
      <c r="EXE197" s="28"/>
      <c r="EXF197" s="28"/>
      <c r="EXG197" s="28"/>
      <c r="EXH197" s="28"/>
      <c r="EXI197" s="28"/>
      <c r="EXJ197" s="28"/>
      <c r="EXK197" s="28"/>
      <c r="EXL197" s="28"/>
      <c r="EXM197" s="28"/>
      <c r="EXN197" s="28"/>
      <c r="EXO197" s="28"/>
      <c r="EXP197" s="28"/>
      <c r="EXQ197" s="28"/>
      <c r="EXR197" s="28"/>
      <c r="EXS197" s="28"/>
      <c r="EXT197" s="28"/>
      <c r="EXU197" s="28"/>
      <c r="EXV197" s="28"/>
      <c r="EXW197" s="28"/>
      <c r="EXX197" s="28"/>
      <c r="EXY197" s="28"/>
      <c r="EXZ197" s="28"/>
      <c r="EYA197" s="28"/>
      <c r="EYB197" s="28"/>
      <c r="EYC197" s="28"/>
      <c r="EYD197" s="28"/>
      <c r="EYE197" s="28"/>
      <c r="EYF197" s="28"/>
      <c r="EYG197" s="28"/>
      <c r="EYH197" s="28"/>
      <c r="EYI197" s="28"/>
      <c r="EYJ197" s="28"/>
      <c r="EYK197" s="28"/>
      <c r="EYL197" s="28"/>
      <c r="EYM197" s="28"/>
      <c r="EYN197" s="28"/>
      <c r="EYO197" s="28"/>
      <c r="EYP197" s="28"/>
      <c r="EYQ197" s="28"/>
      <c r="EYR197" s="28"/>
      <c r="EYS197" s="28"/>
      <c r="EYT197" s="28"/>
      <c r="EYU197" s="28"/>
      <c r="EYV197" s="28"/>
      <c r="EYW197" s="28"/>
      <c r="EYX197" s="28"/>
      <c r="EYY197" s="28"/>
      <c r="EYZ197" s="28"/>
      <c r="EZA197" s="28"/>
      <c r="EZB197" s="28"/>
      <c r="EZC197" s="28"/>
      <c r="EZD197" s="28"/>
      <c r="EZE197" s="28"/>
      <c r="EZF197" s="28"/>
      <c r="EZG197" s="28"/>
      <c r="EZH197" s="28"/>
      <c r="EZI197" s="28"/>
      <c r="EZJ197" s="28"/>
      <c r="EZK197" s="28"/>
      <c r="EZL197" s="28"/>
      <c r="EZM197" s="28"/>
      <c r="EZN197" s="28"/>
      <c r="EZO197" s="28"/>
      <c r="EZP197" s="28"/>
      <c r="EZQ197" s="28"/>
      <c r="EZR197" s="28"/>
      <c r="EZS197" s="28"/>
      <c r="EZT197" s="28"/>
      <c r="EZU197" s="28"/>
      <c r="EZV197" s="28"/>
      <c r="EZW197" s="28"/>
      <c r="EZX197" s="28"/>
      <c r="EZY197" s="28"/>
      <c r="EZZ197" s="28"/>
      <c r="FAA197" s="28"/>
      <c r="FAB197" s="28"/>
      <c r="FAC197" s="28"/>
      <c r="FAD197" s="28"/>
      <c r="FAE197" s="28"/>
      <c r="FAF197" s="28"/>
      <c r="FAG197" s="28"/>
      <c r="FAH197" s="28"/>
      <c r="FAI197" s="28"/>
      <c r="FAJ197" s="28"/>
      <c r="FAK197" s="28"/>
      <c r="FAL197" s="28"/>
      <c r="FAM197" s="28"/>
      <c r="FAN197" s="28"/>
      <c r="FAO197" s="28"/>
      <c r="FAP197" s="28"/>
      <c r="FAQ197" s="28"/>
      <c r="FAR197" s="28"/>
      <c r="FAS197" s="28"/>
      <c r="FAT197" s="28"/>
      <c r="FAU197" s="28"/>
      <c r="FAV197" s="28"/>
      <c r="FAW197" s="28"/>
      <c r="FAX197" s="28"/>
      <c r="FAY197" s="28"/>
      <c r="FAZ197" s="28"/>
      <c r="FBA197" s="28"/>
      <c r="FBB197" s="28"/>
      <c r="FBC197" s="28"/>
      <c r="FBD197" s="28"/>
      <c r="FBE197" s="28"/>
      <c r="FBF197" s="28"/>
      <c r="FBG197" s="28"/>
      <c r="FBH197" s="28"/>
      <c r="FBI197" s="28"/>
      <c r="FBJ197" s="28"/>
      <c r="FBK197" s="28"/>
      <c r="FBL197" s="28"/>
      <c r="FBM197" s="28"/>
      <c r="FBN197" s="28"/>
      <c r="FBO197" s="28"/>
      <c r="FBP197" s="28"/>
      <c r="FBQ197" s="28"/>
      <c r="FBR197" s="28"/>
      <c r="FBS197" s="28"/>
      <c r="FBT197" s="28"/>
      <c r="FBU197" s="28"/>
      <c r="FBV197" s="28"/>
      <c r="FBW197" s="28"/>
      <c r="FBX197" s="28"/>
      <c r="FBY197" s="28"/>
      <c r="FBZ197" s="28"/>
      <c r="FCA197" s="28"/>
      <c r="FCB197" s="28"/>
      <c r="FCC197" s="28"/>
      <c r="FCD197" s="28"/>
      <c r="FCE197" s="28"/>
      <c r="FCF197" s="28"/>
      <c r="FCG197" s="28"/>
      <c r="FCH197" s="28"/>
      <c r="FCI197" s="28"/>
      <c r="FCJ197" s="28"/>
      <c r="FCK197" s="28"/>
      <c r="FCL197" s="28"/>
      <c r="FCM197" s="28"/>
      <c r="FCN197" s="28"/>
      <c r="FCO197" s="28"/>
      <c r="FCP197" s="28"/>
      <c r="FCQ197" s="28"/>
      <c r="FCR197" s="28"/>
      <c r="FCS197" s="28"/>
      <c r="FCT197" s="28"/>
      <c r="FCU197" s="28"/>
      <c r="FCV197" s="28"/>
      <c r="FCW197" s="28"/>
      <c r="FCX197" s="28"/>
      <c r="FCY197" s="28"/>
      <c r="FCZ197" s="28"/>
      <c r="FDA197" s="28"/>
      <c r="FDB197" s="28"/>
      <c r="FDC197" s="28"/>
      <c r="FDD197" s="28"/>
      <c r="FDE197" s="28"/>
      <c r="FDF197" s="28"/>
      <c r="FDG197" s="28"/>
      <c r="FDH197" s="28"/>
      <c r="FDI197" s="28"/>
      <c r="FDJ197" s="28"/>
      <c r="FDK197" s="28"/>
      <c r="FDL197" s="28"/>
      <c r="FDM197" s="28"/>
      <c r="FDN197" s="28"/>
      <c r="FDO197" s="28"/>
      <c r="FDP197" s="28"/>
      <c r="FDQ197" s="28"/>
      <c r="FDR197" s="28"/>
      <c r="FDS197" s="28"/>
      <c r="FDT197" s="28"/>
      <c r="FDU197" s="28"/>
      <c r="FDV197" s="28"/>
      <c r="FDW197" s="28"/>
      <c r="FDX197" s="28"/>
      <c r="FDY197" s="28"/>
      <c r="FDZ197" s="28"/>
      <c r="FEA197" s="28"/>
      <c r="FEB197" s="28"/>
      <c r="FEC197" s="28"/>
      <c r="FED197" s="28"/>
      <c r="FEE197" s="28"/>
      <c r="FEF197" s="28"/>
      <c r="FEG197" s="28"/>
      <c r="FEH197" s="28"/>
      <c r="FEI197" s="28"/>
      <c r="FEJ197" s="28"/>
      <c r="FEK197" s="28"/>
      <c r="FEL197" s="28"/>
      <c r="FEM197" s="28"/>
      <c r="FEN197" s="28"/>
      <c r="FEO197" s="28"/>
      <c r="FEP197" s="28"/>
      <c r="FEQ197" s="28"/>
      <c r="FER197" s="28"/>
      <c r="FES197" s="28"/>
      <c r="FET197" s="28"/>
      <c r="FEU197" s="28"/>
      <c r="FEV197" s="28"/>
      <c r="FEW197" s="28"/>
      <c r="FEX197" s="28"/>
      <c r="FEY197" s="28"/>
      <c r="FEZ197" s="28"/>
      <c r="FFA197" s="28"/>
      <c r="FFB197" s="28"/>
      <c r="FFC197" s="28"/>
      <c r="FFD197" s="28"/>
      <c r="FFE197" s="28"/>
      <c r="FFF197" s="28"/>
      <c r="FFG197" s="28"/>
      <c r="FFH197" s="28"/>
      <c r="FFI197" s="28"/>
      <c r="FFJ197" s="28"/>
      <c r="FFK197" s="28"/>
      <c r="FFL197" s="28"/>
      <c r="FFM197" s="28"/>
      <c r="FFN197" s="28"/>
      <c r="FFO197" s="28"/>
      <c r="FFP197" s="28"/>
      <c r="FFQ197" s="28"/>
      <c r="FFR197" s="28"/>
      <c r="FFS197" s="28"/>
      <c r="FFT197" s="28"/>
      <c r="FFU197" s="28"/>
      <c r="FFV197" s="28"/>
      <c r="FFW197" s="28"/>
      <c r="FFX197" s="28"/>
      <c r="FFY197" s="28"/>
      <c r="FFZ197" s="28"/>
      <c r="FGA197" s="28"/>
      <c r="FGB197" s="28"/>
      <c r="FGC197" s="28"/>
      <c r="FGD197" s="28"/>
      <c r="FGE197" s="28"/>
      <c r="FGF197" s="28"/>
      <c r="FGG197" s="28"/>
      <c r="FGH197" s="28"/>
      <c r="FGI197" s="28"/>
      <c r="FGJ197" s="28"/>
      <c r="FGK197" s="28"/>
      <c r="FGL197" s="28"/>
      <c r="FGM197" s="28"/>
      <c r="FGN197" s="28"/>
      <c r="FGO197" s="28"/>
      <c r="FGP197" s="28"/>
      <c r="FGQ197" s="28"/>
      <c r="FGR197" s="28"/>
      <c r="FGS197" s="28"/>
      <c r="FGT197" s="28"/>
      <c r="FGU197" s="28"/>
      <c r="FGV197" s="28"/>
      <c r="FGW197" s="28"/>
      <c r="FGX197" s="28"/>
      <c r="FGY197" s="28"/>
      <c r="FGZ197" s="28"/>
      <c r="FHA197" s="28"/>
      <c r="FHB197" s="28"/>
      <c r="FHC197" s="28"/>
      <c r="FHD197" s="28"/>
      <c r="FHE197" s="28"/>
      <c r="FHF197" s="28"/>
      <c r="FHG197" s="28"/>
      <c r="FHH197" s="28"/>
      <c r="FHI197" s="28"/>
      <c r="FHJ197" s="28"/>
      <c r="FHK197" s="28"/>
      <c r="FHL197" s="28"/>
      <c r="FHM197" s="28"/>
      <c r="FHN197" s="28"/>
      <c r="FHO197" s="28"/>
      <c r="FHP197" s="28"/>
      <c r="FHQ197" s="28"/>
      <c r="FHR197" s="28"/>
      <c r="FHS197" s="28"/>
      <c r="FHT197" s="28"/>
      <c r="FHU197" s="28"/>
      <c r="FHV197" s="28"/>
      <c r="FHW197" s="28"/>
      <c r="FHX197" s="28"/>
      <c r="FHY197" s="28"/>
      <c r="FHZ197" s="28"/>
      <c r="FIA197" s="28"/>
      <c r="FIB197" s="28"/>
      <c r="FIC197" s="28"/>
      <c r="FID197" s="28"/>
      <c r="FIE197" s="28"/>
      <c r="FIF197" s="28"/>
      <c r="FIG197" s="28"/>
      <c r="FIH197" s="28"/>
      <c r="FII197" s="28"/>
      <c r="FIJ197" s="28"/>
      <c r="FIK197" s="28"/>
      <c r="FIL197" s="28"/>
      <c r="FIM197" s="28"/>
      <c r="FIN197" s="28"/>
      <c r="FIO197" s="28"/>
      <c r="FIP197" s="28"/>
      <c r="FIQ197" s="28"/>
      <c r="FIR197" s="28"/>
      <c r="FIS197" s="28"/>
      <c r="FIT197" s="28"/>
      <c r="FIU197" s="28"/>
      <c r="FIV197" s="28"/>
      <c r="FIW197" s="28"/>
      <c r="FIX197" s="28"/>
      <c r="FIY197" s="28"/>
      <c r="FIZ197" s="28"/>
      <c r="FJA197" s="28"/>
      <c r="FJB197" s="28"/>
      <c r="FJC197" s="28"/>
      <c r="FJD197" s="28"/>
      <c r="FJE197" s="28"/>
      <c r="FJF197" s="28"/>
      <c r="FJG197" s="28"/>
      <c r="FJH197" s="28"/>
      <c r="FJI197" s="28"/>
      <c r="FJJ197" s="28"/>
      <c r="FJK197" s="28"/>
      <c r="FJL197" s="28"/>
      <c r="FJM197" s="28"/>
      <c r="FJN197" s="28"/>
      <c r="FJO197" s="28"/>
      <c r="FJP197" s="28"/>
      <c r="FJQ197" s="28"/>
      <c r="FJR197" s="28"/>
      <c r="FJS197" s="28"/>
      <c r="FJT197" s="28"/>
      <c r="FJU197" s="28"/>
      <c r="FJV197" s="28"/>
      <c r="FJW197" s="28"/>
      <c r="FJX197" s="28"/>
      <c r="FJY197" s="28"/>
      <c r="FJZ197" s="28"/>
      <c r="FKA197" s="28"/>
      <c r="FKB197" s="28"/>
      <c r="FKC197" s="28"/>
      <c r="FKD197" s="28"/>
      <c r="FKE197" s="28"/>
      <c r="FKF197" s="28"/>
      <c r="FKG197" s="28"/>
      <c r="FKH197" s="28"/>
      <c r="FKI197" s="28"/>
      <c r="FKJ197" s="28"/>
      <c r="FKK197" s="28"/>
      <c r="FKL197" s="28"/>
      <c r="FKM197" s="28"/>
      <c r="FKN197" s="28"/>
      <c r="FKO197" s="28"/>
      <c r="FKP197" s="28"/>
      <c r="FKQ197" s="28"/>
      <c r="FKR197" s="28"/>
      <c r="FKS197" s="28"/>
      <c r="FKT197" s="28"/>
      <c r="FKU197" s="28"/>
      <c r="FKV197" s="28"/>
      <c r="FKW197" s="28"/>
      <c r="FKX197" s="28"/>
      <c r="FKY197" s="28"/>
      <c r="FKZ197" s="28"/>
      <c r="FLA197" s="28"/>
      <c r="FLB197" s="28"/>
      <c r="FLC197" s="28"/>
      <c r="FLD197" s="28"/>
      <c r="FLE197" s="28"/>
      <c r="FLF197" s="28"/>
      <c r="FLG197" s="28"/>
      <c r="FLH197" s="28"/>
      <c r="FLI197" s="28"/>
      <c r="FLJ197" s="28"/>
      <c r="FLK197" s="28"/>
      <c r="FLL197" s="28"/>
      <c r="FLM197" s="28"/>
      <c r="FLN197" s="28"/>
      <c r="FLO197" s="28"/>
      <c r="FLP197" s="28"/>
      <c r="FLQ197" s="28"/>
      <c r="FLR197" s="28"/>
      <c r="FLS197" s="28"/>
      <c r="FLT197" s="28"/>
      <c r="FLU197" s="28"/>
      <c r="FLV197" s="28"/>
      <c r="FLW197" s="28"/>
      <c r="FLX197" s="28"/>
      <c r="FLY197" s="28"/>
      <c r="FLZ197" s="28"/>
      <c r="FMA197" s="28"/>
      <c r="FMB197" s="28"/>
      <c r="FMC197" s="28"/>
      <c r="FMD197" s="28"/>
      <c r="FME197" s="28"/>
      <c r="FMF197" s="28"/>
      <c r="FMG197" s="28"/>
      <c r="FMH197" s="28"/>
      <c r="FMI197" s="28"/>
      <c r="FMJ197" s="28"/>
      <c r="FMK197" s="28"/>
      <c r="FML197" s="28"/>
      <c r="FMM197" s="28"/>
      <c r="FMN197" s="28"/>
      <c r="FMO197" s="28"/>
      <c r="FMP197" s="28"/>
      <c r="FMQ197" s="28"/>
      <c r="FMR197" s="28"/>
      <c r="FMS197" s="28"/>
      <c r="FMT197" s="28"/>
      <c r="FMU197" s="28"/>
      <c r="FMV197" s="28"/>
      <c r="FMW197" s="28"/>
      <c r="FMX197" s="28"/>
      <c r="FMY197" s="28"/>
      <c r="FMZ197" s="28"/>
      <c r="FNA197" s="28"/>
      <c r="FNB197" s="28"/>
      <c r="FNC197" s="28"/>
      <c r="FND197" s="28"/>
      <c r="FNE197" s="28"/>
      <c r="FNF197" s="28"/>
      <c r="FNG197" s="28"/>
      <c r="FNH197" s="28"/>
      <c r="FNI197" s="28"/>
      <c r="FNJ197" s="28"/>
      <c r="FNK197" s="28"/>
      <c r="FNL197" s="28"/>
      <c r="FNM197" s="28"/>
      <c r="FNN197" s="28"/>
      <c r="FNO197" s="28"/>
      <c r="FNP197" s="28"/>
      <c r="FNQ197" s="28"/>
      <c r="FNR197" s="28"/>
      <c r="FNS197" s="28"/>
      <c r="FNT197" s="28"/>
      <c r="FNU197" s="28"/>
      <c r="FNV197" s="28"/>
      <c r="FNW197" s="28"/>
      <c r="FNX197" s="28"/>
      <c r="FNY197" s="28"/>
      <c r="FNZ197" s="28"/>
      <c r="FOA197" s="28"/>
      <c r="FOB197" s="28"/>
      <c r="FOC197" s="28"/>
      <c r="FOD197" s="28"/>
      <c r="FOE197" s="28"/>
      <c r="FOF197" s="28"/>
      <c r="FOG197" s="28"/>
      <c r="FOH197" s="28"/>
      <c r="FOI197" s="28"/>
      <c r="FOJ197" s="28"/>
      <c r="FOK197" s="28"/>
      <c r="FOL197" s="28"/>
      <c r="FOM197" s="28"/>
      <c r="FON197" s="28"/>
      <c r="FOO197" s="28"/>
      <c r="FOP197" s="28"/>
      <c r="FOQ197" s="28"/>
      <c r="FOR197" s="28"/>
      <c r="FOS197" s="28"/>
      <c r="FOT197" s="28"/>
      <c r="FOU197" s="28"/>
      <c r="FOV197" s="28"/>
      <c r="FOW197" s="28"/>
      <c r="FOX197" s="28"/>
      <c r="FOY197" s="28"/>
      <c r="FOZ197" s="28"/>
      <c r="FPA197" s="28"/>
      <c r="FPB197" s="28"/>
      <c r="FPC197" s="28"/>
      <c r="FPD197" s="28"/>
      <c r="FPE197" s="28"/>
      <c r="FPF197" s="28"/>
      <c r="FPG197" s="28"/>
      <c r="FPH197" s="28"/>
      <c r="FPI197" s="28"/>
      <c r="FPJ197" s="28"/>
      <c r="FPK197" s="28"/>
      <c r="FPL197" s="28"/>
      <c r="FPM197" s="28"/>
      <c r="FPN197" s="28"/>
      <c r="FPO197" s="28"/>
      <c r="FPP197" s="28"/>
      <c r="FPQ197" s="28"/>
      <c r="FPR197" s="28"/>
      <c r="FPS197" s="28"/>
      <c r="FPT197" s="28"/>
      <c r="FPU197" s="28"/>
      <c r="FPV197" s="28"/>
      <c r="FPW197" s="28"/>
      <c r="FPX197" s="28"/>
      <c r="FPY197" s="28"/>
      <c r="FPZ197" s="28"/>
      <c r="FQA197" s="28"/>
      <c r="FQB197" s="28"/>
      <c r="FQC197" s="28"/>
      <c r="FQD197" s="28"/>
      <c r="FQE197" s="28"/>
      <c r="FQF197" s="28"/>
      <c r="FQG197" s="28"/>
      <c r="FQH197" s="28"/>
      <c r="FQI197" s="28"/>
      <c r="FQJ197" s="28"/>
      <c r="FQK197" s="28"/>
      <c r="FQL197" s="28"/>
      <c r="FQM197" s="28"/>
      <c r="FQN197" s="28"/>
      <c r="FQO197" s="28"/>
      <c r="FQP197" s="28"/>
      <c r="FQQ197" s="28"/>
      <c r="FQR197" s="28"/>
      <c r="FQS197" s="28"/>
      <c r="FQT197" s="28"/>
      <c r="FQU197" s="28"/>
      <c r="FQV197" s="28"/>
      <c r="FQW197" s="28"/>
      <c r="FQX197" s="28"/>
      <c r="FQY197" s="28"/>
      <c r="FQZ197" s="28"/>
      <c r="FRA197" s="28"/>
      <c r="FRB197" s="28"/>
      <c r="FRC197" s="28"/>
      <c r="FRD197" s="28"/>
      <c r="FRE197" s="28"/>
      <c r="FRF197" s="28"/>
      <c r="FRG197" s="28"/>
      <c r="FRH197" s="28"/>
      <c r="FRI197" s="28"/>
      <c r="FRJ197" s="28"/>
      <c r="FRK197" s="28"/>
      <c r="FRL197" s="28"/>
      <c r="FRM197" s="28"/>
      <c r="FRN197" s="28"/>
      <c r="FRO197" s="28"/>
      <c r="FRP197" s="28"/>
      <c r="FRQ197" s="28"/>
      <c r="FRR197" s="28"/>
      <c r="FRS197" s="28"/>
      <c r="FRT197" s="28"/>
      <c r="FRU197" s="28"/>
      <c r="FRV197" s="28"/>
      <c r="FRW197" s="28"/>
      <c r="FRX197" s="28"/>
      <c r="FRY197" s="28"/>
      <c r="FRZ197" s="28"/>
      <c r="FSA197" s="28"/>
      <c r="FSB197" s="28"/>
      <c r="FSC197" s="28"/>
      <c r="FSD197" s="28"/>
      <c r="FSE197" s="28"/>
      <c r="FSF197" s="28"/>
      <c r="FSG197" s="28"/>
      <c r="FSH197" s="28"/>
      <c r="FSI197" s="28"/>
      <c r="FSJ197" s="28"/>
      <c r="FSK197" s="28"/>
      <c r="FSL197" s="28"/>
      <c r="FSM197" s="28"/>
      <c r="FSN197" s="28"/>
      <c r="FSO197" s="28"/>
      <c r="FSP197" s="28"/>
      <c r="FSQ197" s="28"/>
      <c r="FSR197" s="28"/>
      <c r="FSS197" s="28"/>
      <c r="FST197" s="28"/>
      <c r="FSU197" s="28"/>
      <c r="FSV197" s="28"/>
      <c r="FSW197" s="28"/>
      <c r="FSX197" s="28"/>
      <c r="FSY197" s="28"/>
      <c r="FSZ197" s="28"/>
      <c r="FTA197" s="28"/>
      <c r="FTB197" s="28"/>
      <c r="FTC197" s="28"/>
      <c r="FTD197" s="28"/>
      <c r="FTE197" s="28"/>
      <c r="FTF197" s="28"/>
      <c r="FTG197" s="28"/>
      <c r="FTH197" s="28"/>
      <c r="FTI197" s="28"/>
      <c r="FTJ197" s="28"/>
      <c r="FTK197" s="28"/>
      <c r="FTL197" s="28"/>
      <c r="FTM197" s="28"/>
      <c r="FTN197" s="28"/>
      <c r="FTO197" s="28"/>
      <c r="FTP197" s="28"/>
      <c r="FTQ197" s="28"/>
      <c r="FTR197" s="28"/>
      <c r="FTS197" s="28"/>
      <c r="FTT197" s="28"/>
      <c r="FTU197" s="28"/>
      <c r="FTV197" s="28"/>
      <c r="FTW197" s="28"/>
      <c r="FTX197" s="28"/>
      <c r="FTY197" s="28"/>
      <c r="FTZ197" s="28"/>
      <c r="FUA197" s="28"/>
      <c r="FUB197" s="28"/>
      <c r="FUC197" s="28"/>
      <c r="FUD197" s="28"/>
      <c r="FUE197" s="28"/>
      <c r="FUF197" s="28"/>
      <c r="FUG197" s="28"/>
      <c r="FUH197" s="28"/>
      <c r="FUI197" s="28"/>
      <c r="FUJ197" s="28"/>
      <c r="FUK197" s="28"/>
      <c r="FUL197" s="28"/>
      <c r="FUM197" s="28"/>
      <c r="FUN197" s="28"/>
      <c r="FUO197" s="28"/>
      <c r="FUP197" s="28"/>
      <c r="FUQ197" s="28"/>
      <c r="FUR197" s="28"/>
      <c r="FUS197" s="28"/>
      <c r="FUT197" s="28"/>
      <c r="FUU197" s="28"/>
      <c r="FUV197" s="28"/>
      <c r="FUW197" s="28"/>
      <c r="FUX197" s="28"/>
      <c r="FUY197" s="28"/>
      <c r="FUZ197" s="28"/>
      <c r="FVA197" s="28"/>
      <c r="FVB197" s="28"/>
      <c r="FVC197" s="28"/>
      <c r="FVD197" s="28"/>
      <c r="FVE197" s="28"/>
      <c r="FVF197" s="28"/>
      <c r="FVG197" s="28"/>
      <c r="FVH197" s="28"/>
      <c r="FVI197" s="28"/>
      <c r="FVJ197" s="28"/>
      <c r="FVK197" s="28"/>
      <c r="FVL197" s="28"/>
      <c r="FVM197" s="28"/>
      <c r="FVN197" s="28"/>
      <c r="FVO197" s="28"/>
      <c r="FVP197" s="28"/>
      <c r="FVQ197" s="28"/>
      <c r="FVR197" s="28"/>
      <c r="FVS197" s="28"/>
      <c r="FVT197" s="28"/>
      <c r="FVU197" s="28"/>
      <c r="FVV197" s="28"/>
      <c r="FVW197" s="28"/>
      <c r="FVX197" s="28"/>
      <c r="FVY197" s="28"/>
      <c r="FVZ197" s="28"/>
      <c r="FWA197" s="28"/>
      <c r="FWB197" s="28"/>
      <c r="FWC197" s="28"/>
      <c r="FWD197" s="28"/>
      <c r="FWE197" s="28"/>
      <c r="FWF197" s="28"/>
      <c r="FWG197" s="28"/>
      <c r="FWH197" s="28"/>
      <c r="FWI197" s="28"/>
      <c r="FWJ197" s="28"/>
      <c r="FWK197" s="28"/>
      <c r="FWL197" s="28"/>
      <c r="FWM197" s="28"/>
      <c r="FWN197" s="28"/>
      <c r="FWO197" s="28"/>
      <c r="FWP197" s="28"/>
      <c r="FWQ197" s="28"/>
      <c r="FWR197" s="28"/>
      <c r="FWS197" s="28"/>
      <c r="FWT197" s="28"/>
      <c r="FWU197" s="28"/>
      <c r="FWV197" s="28"/>
      <c r="FWW197" s="28"/>
      <c r="FWX197" s="28"/>
      <c r="FWY197" s="28"/>
      <c r="FWZ197" s="28"/>
      <c r="FXA197" s="28"/>
      <c r="FXB197" s="28"/>
      <c r="FXC197" s="28"/>
      <c r="FXD197" s="28"/>
      <c r="FXE197" s="28"/>
      <c r="FXF197" s="28"/>
      <c r="FXG197" s="28"/>
      <c r="FXH197" s="28"/>
      <c r="FXI197" s="28"/>
      <c r="FXJ197" s="28"/>
      <c r="FXK197" s="28"/>
      <c r="FXL197" s="28"/>
      <c r="FXM197" s="28"/>
      <c r="FXN197" s="28"/>
      <c r="FXO197" s="28"/>
      <c r="FXP197" s="28"/>
      <c r="FXQ197" s="28"/>
      <c r="FXR197" s="28"/>
      <c r="FXS197" s="28"/>
      <c r="FXT197" s="28"/>
      <c r="FXU197" s="28"/>
      <c r="FXV197" s="28"/>
      <c r="FXW197" s="28"/>
      <c r="FXX197" s="28"/>
      <c r="FXY197" s="28"/>
      <c r="FXZ197" s="28"/>
      <c r="FYA197" s="28"/>
      <c r="FYB197" s="28"/>
      <c r="FYC197" s="28"/>
      <c r="FYD197" s="28"/>
      <c r="FYE197" s="28"/>
      <c r="FYF197" s="28"/>
      <c r="FYG197" s="28"/>
      <c r="FYH197" s="28"/>
      <c r="FYI197" s="28"/>
      <c r="FYJ197" s="28"/>
      <c r="FYK197" s="28"/>
      <c r="FYL197" s="28"/>
      <c r="FYM197" s="28"/>
      <c r="FYN197" s="28"/>
      <c r="FYO197" s="28"/>
      <c r="FYP197" s="28"/>
      <c r="FYQ197" s="28"/>
      <c r="FYR197" s="28"/>
      <c r="FYS197" s="28"/>
      <c r="FYT197" s="28"/>
      <c r="FYU197" s="28"/>
      <c r="FYV197" s="28"/>
      <c r="FYW197" s="28"/>
      <c r="FYX197" s="28"/>
      <c r="FYY197" s="28"/>
      <c r="FYZ197" s="28"/>
      <c r="FZA197" s="28"/>
      <c r="FZB197" s="28"/>
      <c r="FZC197" s="28"/>
      <c r="FZD197" s="28"/>
      <c r="FZE197" s="28"/>
      <c r="FZF197" s="28"/>
      <c r="FZG197" s="28"/>
      <c r="FZH197" s="28"/>
      <c r="FZI197" s="28"/>
      <c r="FZJ197" s="28"/>
      <c r="FZK197" s="28"/>
      <c r="FZL197" s="28"/>
      <c r="FZM197" s="28"/>
      <c r="FZN197" s="28"/>
      <c r="FZO197" s="28"/>
      <c r="FZP197" s="28"/>
      <c r="FZQ197" s="28"/>
      <c r="FZR197" s="28"/>
      <c r="FZS197" s="28"/>
      <c r="FZT197" s="28"/>
      <c r="FZU197" s="28"/>
      <c r="FZV197" s="28"/>
      <c r="FZW197" s="28"/>
      <c r="FZX197" s="28"/>
      <c r="FZY197" s="28"/>
      <c r="FZZ197" s="28"/>
      <c r="GAA197" s="28"/>
      <c r="GAB197" s="28"/>
      <c r="GAC197" s="28"/>
      <c r="GAD197" s="28"/>
      <c r="GAE197" s="28"/>
      <c r="GAF197" s="28"/>
      <c r="GAG197" s="28"/>
      <c r="GAH197" s="28"/>
      <c r="GAI197" s="28"/>
      <c r="GAJ197" s="28"/>
      <c r="GAK197" s="28"/>
      <c r="GAL197" s="28"/>
      <c r="GAM197" s="28"/>
      <c r="GAN197" s="28"/>
      <c r="GAO197" s="28"/>
      <c r="GAP197" s="28"/>
      <c r="GAQ197" s="28"/>
      <c r="GAR197" s="28"/>
      <c r="GAS197" s="28"/>
      <c r="GAT197" s="28"/>
      <c r="GAU197" s="28"/>
      <c r="GAV197" s="28"/>
      <c r="GAW197" s="28"/>
      <c r="GAX197" s="28"/>
      <c r="GAY197" s="28"/>
      <c r="GAZ197" s="28"/>
      <c r="GBA197" s="28"/>
      <c r="GBB197" s="28"/>
      <c r="GBC197" s="28"/>
      <c r="GBD197" s="28"/>
      <c r="GBE197" s="28"/>
      <c r="GBF197" s="28"/>
      <c r="GBG197" s="28"/>
      <c r="GBH197" s="28"/>
      <c r="GBI197" s="28"/>
      <c r="GBJ197" s="28"/>
      <c r="GBK197" s="28"/>
      <c r="GBL197" s="28"/>
      <c r="GBM197" s="28"/>
      <c r="GBN197" s="28"/>
      <c r="GBO197" s="28"/>
      <c r="GBP197" s="28"/>
      <c r="GBQ197" s="28"/>
      <c r="GBR197" s="28"/>
      <c r="GBS197" s="28"/>
      <c r="GBT197" s="28"/>
      <c r="GBU197" s="28"/>
      <c r="GBV197" s="28"/>
      <c r="GBW197" s="28"/>
      <c r="GBX197" s="28"/>
      <c r="GBY197" s="28"/>
      <c r="GBZ197" s="28"/>
      <c r="GCA197" s="28"/>
      <c r="GCB197" s="28"/>
      <c r="GCC197" s="28"/>
      <c r="GCD197" s="28"/>
      <c r="GCE197" s="28"/>
      <c r="GCF197" s="28"/>
      <c r="GCG197" s="28"/>
      <c r="GCH197" s="28"/>
      <c r="GCI197" s="28"/>
      <c r="GCJ197" s="28"/>
      <c r="GCK197" s="28"/>
      <c r="GCL197" s="28"/>
      <c r="GCM197" s="28"/>
      <c r="GCN197" s="28"/>
      <c r="GCO197" s="28"/>
      <c r="GCP197" s="28"/>
      <c r="GCQ197" s="28"/>
      <c r="GCR197" s="28"/>
      <c r="GCS197" s="28"/>
      <c r="GCT197" s="28"/>
      <c r="GCU197" s="28"/>
      <c r="GCV197" s="28"/>
      <c r="GCW197" s="28"/>
      <c r="GCX197" s="28"/>
      <c r="GCY197" s="28"/>
      <c r="GCZ197" s="28"/>
      <c r="GDA197" s="28"/>
      <c r="GDB197" s="28"/>
      <c r="GDC197" s="28"/>
      <c r="GDD197" s="28"/>
      <c r="GDE197" s="28"/>
      <c r="GDF197" s="28"/>
      <c r="GDG197" s="28"/>
      <c r="GDH197" s="28"/>
      <c r="GDI197" s="28"/>
      <c r="GDJ197" s="28"/>
      <c r="GDK197" s="28"/>
      <c r="GDL197" s="28"/>
      <c r="GDM197" s="28"/>
      <c r="GDN197" s="28"/>
      <c r="GDO197" s="28"/>
      <c r="GDP197" s="28"/>
      <c r="GDQ197" s="28"/>
      <c r="GDR197" s="28"/>
      <c r="GDS197" s="28"/>
      <c r="GDT197" s="28"/>
      <c r="GDU197" s="28"/>
      <c r="GDV197" s="28"/>
      <c r="GDW197" s="28"/>
      <c r="GDX197" s="28"/>
      <c r="GDY197" s="28"/>
      <c r="GDZ197" s="28"/>
      <c r="GEA197" s="28"/>
      <c r="GEB197" s="28"/>
      <c r="GEC197" s="28"/>
      <c r="GED197" s="28"/>
      <c r="GEE197" s="28"/>
      <c r="GEF197" s="28"/>
      <c r="GEG197" s="28"/>
      <c r="GEH197" s="28"/>
      <c r="GEI197" s="28"/>
      <c r="GEJ197" s="28"/>
      <c r="GEK197" s="28"/>
      <c r="GEL197" s="28"/>
      <c r="GEM197" s="28"/>
      <c r="GEN197" s="28"/>
      <c r="GEO197" s="28"/>
      <c r="GEP197" s="28"/>
      <c r="GEQ197" s="28"/>
      <c r="GER197" s="28"/>
      <c r="GES197" s="28"/>
      <c r="GET197" s="28"/>
      <c r="GEU197" s="28"/>
      <c r="GEV197" s="28"/>
      <c r="GEW197" s="28"/>
      <c r="GEX197" s="28"/>
      <c r="GEY197" s="28"/>
      <c r="GEZ197" s="28"/>
      <c r="GFA197" s="28"/>
      <c r="GFB197" s="28"/>
      <c r="GFC197" s="28"/>
      <c r="GFD197" s="28"/>
      <c r="GFE197" s="28"/>
      <c r="GFF197" s="28"/>
      <c r="GFG197" s="28"/>
      <c r="GFH197" s="28"/>
      <c r="GFI197" s="28"/>
      <c r="GFJ197" s="28"/>
      <c r="GFK197" s="28"/>
      <c r="GFL197" s="28"/>
      <c r="GFM197" s="28"/>
      <c r="GFN197" s="28"/>
      <c r="GFO197" s="28"/>
      <c r="GFP197" s="28"/>
      <c r="GFQ197" s="28"/>
      <c r="GFR197" s="28"/>
      <c r="GFS197" s="28"/>
      <c r="GFT197" s="28"/>
      <c r="GFU197" s="28"/>
      <c r="GFV197" s="28"/>
      <c r="GFW197" s="28"/>
      <c r="GFX197" s="28"/>
      <c r="GFY197" s="28"/>
      <c r="GFZ197" s="28"/>
      <c r="GGA197" s="28"/>
      <c r="GGB197" s="28"/>
      <c r="GGC197" s="28"/>
      <c r="GGD197" s="28"/>
      <c r="GGE197" s="28"/>
      <c r="GGF197" s="28"/>
      <c r="GGG197" s="28"/>
      <c r="GGH197" s="28"/>
      <c r="GGI197" s="28"/>
      <c r="GGJ197" s="28"/>
      <c r="GGK197" s="28"/>
      <c r="GGL197" s="28"/>
      <c r="GGM197" s="28"/>
      <c r="GGN197" s="28"/>
      <c r="GGO197" s="28"/>
      <c r="GGP197" s="28"/>
      <c r="GGQ197" s="28"/>
      <c r="GGR197" s="28"/>
      <c r="GGS197" s="28"/>
      <c r="GGT197" s="28"/>
      <c r="GGU197" s="28"/>
      <c r="GGV197" s="28"/>
      <c r="GGW197" s="28"/>
      <c r="GGX197" s="28"/>
      <c r="GGY197" s="28"/>
      <c r="GGZ197" s="28"/>
      <c r="GHA197" s="28"/>
      <c r="GHB197" s="28"/>
      <c r="GHC197" s="28"/>
      <c r="GHD197" s="28"/>
      <c r="GHE197" s="28"/>
      <c r="GHF197" s="28"/>
      <c r="GHG197" s="28"/>
      <c r="GHH197" s="28"/>
      <c r="GHI197" s="28"/>
      <c r="GHJ197" s="28"/>
      <c r="GHK197" s="28"/>
      <c r="GHL197" s="28"/>
      <c r="GHM197" s="28"/>
      <c r="GHN197" s="28"/>
      <c r="GHO197" s="28"/>
      <c r="GHP197" s="28"/>
      <c r="GHQ197" s="28"/>
      <c r="GHR197" s="28"/>
      <c r="GHS197" s="28"/>
      <c r="GHT197" s="28"/>
      <c r="GHU197" s="28"/>
      <c r="GHV197" s="28"/>
      <c r="GHW197" s="28"/>
      <c r="GHX197" s="28"/>
      <c r="GHY197" s="28"/>
      <c r="GHZ197" s="28"/>
      <c r="GIA197" s="28"/>
      <c r="GIB197" s="28"/>
      <c r="GIC197" s="28"/>
      <c r="GID197" s="28"/>
      <c r="GIE197" s="28"/>
      <c r="GIF197" s="28"/>
      <c r="GIG197" s="28"/>
      <c r="GIH197" s="28"/>
      <c r="GII197" s="28"/>
      <c r="GIJ197" s="28"/>
      <c r="GIK197" s="28"/>
      <c r="GIL197" s="28"/>
      <c r="GIM197" s="28"/>
      <c r="GIN197" s="28"/>
      <c r="GIO197" s="28"/>
      <c r="GIP197" s="28"/>
      <c r="GIQ197" s="28"/>
      <c r="GIR197" s="28"/>
      <c r="GIS197" s="28"/>
      <c r="GIT197" s="28"/>
      <c r="GIU197" s="28"/>
      <c r="GIV197" s="28"/>
      <c r="GIW197" s="28"/>
      <c r="GIX197" s="28"/>
      <c r="GIY197" s="28"/>
      <c r="GIZ197" s="28"/>
      <c r="GJA197" s="28"/>
      <c r="GJB197" s="28"/>
      <c r="GJC197" s="28"/>
      <c r="GJD197" s="28"/>
      <c r="GJE197" s="28"/>
      <c r="GJF197" s="28"/>
      <c r="GJG197" s="28"/>
      <c r="GJH197" s="28"/>
      <c r="GJI197" s="28"/>
      <c r="GJJ197" s="28"/>
      <c r="GJK197" s="28"/>
      <c r="GJL197" s="28"/>
      <c r="GJM197" s="28"/>
      <c r="GJN197" s="28"/>
      <c r="GJO197" s="28"/>
      <c r="GJP197" s="28"/>
      <c r="GJQ197" s="28"/>
      <c r="GJR197" s="28"/>
      <c r="GJS197" s="28"/>
      <c r="GJT197" s="28"/>
      <c r="GJU197" s="28"/>
      <c r="GJV197" s="28"/>
      <c r="GJW197" s="28"/>
      <c r="GJX197" s="28"/>
      <c r="GJY197" s="28"/>
      <c r="GJZ197" s="28"/>
      <c r="GKA197" s="28"/>
      <c r="GKB197" s="28"/>
      <c r="GKC197" s="28"/>
      <c r="GKD197" s="28"/>
      <c r="GKE197" s="28"/>
      <c r="GKF197" s="28"/>
      <c r="GKG197" s="28"/>
      <c r="GKH197" s="28"/>
      <c r="GKI197" s="28"/>
      <c r="GKJ197" s="28"/>
      <c r="GKK197" s="28"/>
      <c r="GKL197" s="28"/>
      <c r="GKM197" s="28"/>
      <c r="GKN197" s="28"/>
      <c r="GKO197" s="28"/>
      <c r="GKP197" s="28"/>
      <c r="GKQ197" s="28"/>
      <c r="GKR197" s="28"/>
      <c r="GKS197" s="28"/>
      <c r="GKT197" s="28"/>
      <c r="GKU197" s="28"/>
      <c r="GKV197" s="28"/>
      <c r="GKW197" s="28"/>
      <c r="GKX197" s="28"/>
      <c r="GKY197" s="28"/>
      <c r="GKZ197" s="28"/>
      <c r="GLA197" s="28"/>
      <c r="GLB197" s="28"/>
      <c r="GLC197" s="28"/>
      <c r="GLD197" s="28"/>
      <c r="GLE197" s="28"/>
      <c r="GLF197" s="28"/>
      <c r="GLG197" s="28"/>
      <c r="GLH197" s="28"/>
      <c r="GLI197" s="28"/>
      <c r="GLJ197" s="28"/>
      <c r="GLK197" s="28"/>
    </row>
    <row r="198" spans="1:5055">
      <c r="A198" s="78">
        <v>195</v>
      </c>
      <c r="B198" s="77" t="s">
        <v>174</v>
      </c>
      <c r="C198" s="33" t="s">
        <v>284</v>
      </c>
      <c r="D198" s="31" t="s">
        <v>178</v>
      </c>
      <c r="E198" s="7">
        <v>46204</v>
      </c>
      <c r="F198" s="11" t="s">
        <v>282</v>
      </c>
      <c r="G198" s="11" t="s">
        <v>281</v>
      </c>
      <c r="H198" s="4" t="s">
        <v>0</v>
      </c>
      <c r="I198" s="5">
        <v>4758</v>
      </c>
      <c r="J198" s="6" t="s">
        <v>15</v>
      </c>
      <c r="K198" s="2">
        <v>8000</v>
      </c>
      <c r="L198" s="2">
        <f t="shared" si="295"/>
        <v>7800</v>
      </c>
      <c r="M198" s="12">
        <f t="shared" si="296"/>
        <v>-200</v>
      </c>
      <c r="N198" s="21">
        <f t="shared" si="273"/>
        <v>0.97499999999999998</v>
      </c>
      <c r="O198" s="56">
        <f>E198+P198+1+3</f>
        <v>46228.830729492147</v>
      </c>
      <c r="P198" s="25">
        <f t="shared" si="297"/>
        <v>20.830729492146816</v>
      </c>
      <c r="Q198" s="51">
        <f t="shared" si="298"/>
        <v>374.4468</v>
      </c>
      <c r="T198" s="28"/>
    </row>
    <row r="199" spans="1:5055">
      <c r="A199" s="78">
        <v>196</v>
      </c>
      <c r="B199" s="77" t="s">
        <v>174</v>
      </c>
      <c r="C199" s="33" t="s">
        <v>284</v>
      </c>
      <c r="D199" s="31" t="s">
        <v>178</v>
      </c>
      <c r="E199" s="7">
        <v>46205</v>
      </c>
      <c r="F199" s="11" t="s">
        <v>368</v>
      </c>
      <c r="G199" s="11" t="s">
        <v>367</v>
      </c>
      <c r="H199" s="4" t="s">
        <v>0</v>
      </c>
      <c r="I199" s="5">
        <v>4758</v>
      </c>
      <c r="J199" s="6" t="s">
        <v>104</v>
      </c>
      <c r="K199" s="2">
        <v>8000</v>
      </c>
      <c r="L199" s="2">
        <f t="shared" ref="L199:L200" si="299">+K199*0.975</f>
        <v>7800</v>
      </c>
      <c r="M199" s="12">
        <f t="shared" ref="M199:M200" si="300">+L199-K199</f>
        <v>-200</v>
      </c>
      <c r="N199" s="21">
        <f t="shared" ref="N199:N200" si="301">+L199/K199</f>
        <v>0.97499999999999998</v>
      </c>
      <c r="O199" s="56">
        <f t="shared" ref="O199:O200" si="302">E199+P199+1+3</f>
        <v>46229.830729492147</v>
      </c>
      <c r="P199" s="25">
        <f t="shared" ref="P199:P200" si="303">+L199/Q199</f>
        <v>20.830729492146816</v>
      </c>
      <c r="Q199" s="51">
        <f t="shared" ref="Q199:Q200" si="304">630*40/60*0.975*0.9144</f>
        <v>374.4468</v>
      </c>
    </row>
    <row r="200" spans="1:5055">
      <c r="A200" s="78">
        <v>197</v>
      </c>
      <c r="B200" s="77" t="s">
        <v>174</v>
      </c>
      <c r="C200" s="33" t="s">
        <v>284</v>
      </c>
      <c r="D200" s="31" t="s">
        <v>178</v>
      </c>
      <c r="E200" s="7">
        <v>46205</v>
      </c>
      <c r="F200" s="11" t="s">
        <v>282</v>
      </c>
      <c r="G200" s="11" t="s">
        <v>281</v>
      </c>
      <c r="H200" s="4" t="s">
        <v>0</v>
      </c>
      <c r="I200" s="5">
        <v>4758</v>
      </c>
      <c r="J200" s="6" t="s">
        <v>73</v>
      </c>
      <c r="K200" s="2">
        <v>8000</v>
      </c>
      <c r="L200" s="2">
        <f t="shared" si="299"/>
        <v>7800</v>
      </c>
      <c r="M200" s="12">
        <f t="shared" si="300"/>
        <v>-200</v>
      </c>
      <c r="N200" s="21">
        <f t="shared" si="301"/>
        <v>0.97499999999999998</v>
      </c>
      <c r="O200" s="56">
        <f t="shared" si="302"/>
        <v>46229.830729492147</v>
      </c>
      <c r="P200" s="25">
        <f t="shared" si="303"/>
        <v>20.830729492146816</v>
      </c>
      <c r="Q200" s="51">
        <f t="shared" si="304"/>
        <v>374.4468</v>
      </c>
    </row>
    <row r="201" spans="1:5055">
      <c r="A201" s="78">
        <v>198</v>
      </c>
      <c r="B201" s="32" t="s">
        <v>174</v>
      </c>
      <c r="C201" s="32" t="s">
        <v>67</v>
      </c>
      <c r="D201" s="32" t="s">
        <v>178</v>
      </c>
      <c r="E201" s="7">
        <v>46203</v>
      </c>
      <c r="F201" s="4" t="s">
        <v>282</v>
      </c>
      <c r="G201" s="4" t="s">
        <v>281</v>
      </c>
      <c r="H201" s="3" t="s">
        <v>0</v>
      </c>
      <c r="I201" s="3">
        <v>4758</v>
      </c>
      <c r="J201" s="6" t="s">
        <v>37</v>
      </c>
      <c r="K201" s="2">
        <v>8000</v>
      </c>
      <c r="L201" s="2">
        <f t="shared" ref="L201:L203" si="305">+K201*0.975</f>
        <v>7800</v>
      </c>
      <c r="M201" s="2">
        <f t="shared" ref="M201:M203" si="306">+L201-K201</f>
        <v>-200</v>
      </c>
      <c r="N201" s="21">
        <f t="shared" si="273"/>
        <v>0.97499999999999998</v>
      </c>
      <c r="O201" s="56">
        <f>E201+P201+1+3</f>
        <v>46227.830729492147</v>
      </c>
      <c r="P201" s="24">
        <f t="shared" ref="P201:P203" si="307">+L201/Q201</f>
        <v>20.830729492146816</v>
      </c>
      <c r="Q201" s="51">
        <f t="shared" ref="Q201:Q203" si="308">630*40/60*0.975*0.9144</f>
        <v>374.4468</v>
      </c>
    </row>
    <row r="202" spans="1:5055">
      <c r="A202" s="78">
        <v>199</v>
      </c>
      <c r="B202" s="77" t="s">
        <v>174</v>
      </c>
      <c r="C202" s="33" t="s">
        <v>284</v>
      </c>
      <c r="D202" s="31" t="s">
        <v>178</v>
      </c>
      <c r="E202" s="7">
        <v>46205</v>
      </c>
      <c r="F202" s="11" t="s">
        <v>368</v>
      </c>
      <c r="G202" s="11" t="s">
        <v>367</v>
      </c>
      <c r="H202" s="4" t="s">
        <v>0</v>
      </c>
      <c r="I202" s="5">
        <v>4758</v>
      </c>
      <c r="J202" s="6" t="s">
        <v>86</v>
      </c>
      <c r="K202" s="2">
        <v>8000</v>
      </c>
      <c r="L202" s="2">
        <f t="shared" si="305"/>
        <v>7800</v>
      </c>
      <c r="M202" s="12">
        <f t="shared" si="306"/>
        <v>-200</v>
      </c>
      <c r="N202" s="21">
        <f t="shared" si="273"/>
        <v>0.97499999999999998</v>
      </c>
      <c r="O202" s="56">
        <f>E202+P202+1+3</f>
        <v>46229.830729492147</v>
      </c>
      <c r="P202" s="25">
        <f t="shared" si="307"/>
        <v>20.830729492146816</v>
      </c>
      <c r="Q202" s="51">
        <f t="shared" si="308"/>
        <v>374.4468</v>
      </c>
      <c r="R202" s="28"/>
      <c r="S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  <c r="FS202" s="28"/>
      <c r="FT202" s="28"/>
      <c r="FU202" s="28"/>
      <c r="FV202" s="28"/>
      <c r="FW202" s="28"/>
      <c r="FX202" s="28"/>
      <c r="FY202" s="28"/>
      <c r="FZ202" s="28"/>
      <c r="GA202" s="28"/>
      <c r="GB202" s="28"/>
      <c r="GC202" s="28"/>
      <c r="GD202" s="28"/>
      <c r="GE202" s="28"/>
      <c r="GF202" s="28"/>
      <c r="GG202" s="28"/>
      <c r="GH202" s="28"/>
      <c r="GI202" s="28"/>
      <c r="GJ202" s="28"/>
      <c r="GK202" s="28"/>
      <c r="GL202" s="28"/>
      <c r="GM202" s="28"/>
      <c r="GN202" s="28"/>
      <c r="GO202" s="28"/>
      <c r="GP202" s="28"/>
      <c r="GQ202" s="28"/>
      <c r="GR202" s="28"/>
      <c r="GS202" s="28"/>
      <c r="GT202" s="28"/>
      <c r="GU202" s="28"/>
      <c r="GV202" s="28"/>
      <c r="GW202" s="28"/>
      <c r="GX202" s="28"/>
      <c r="GY202" s="28"/>
      <c r="GZ202" s="28"/>
      <c r="HA202" s="28"/>
      <c r="HB202" s="28"/>
      <c r="HC202" s="28"/>
      <c r="HD202" s="28"/>
      <c r="HE202" s="28"/>
      <c r="HF202" s="28"/>
      <c r="HG202" s="28"/>
      <c r="HH202" s="28"/>
      <c r="HI202" s="28"/>
      <c r="HJ202" s="28"/>
      <c r="HK202" s="28"/>
      <c r="HL202" s="28"/>
      <c r="HM202" s="28"/>
      <c r="HN202" s="28"/>
      <c r="HO202" s="28"/>
      <c r="HP202" s="28"/>
      <c r="HQ202" s="28"/>
      <c r="HR202" s="28"/>
      <c r="HS202" s="28"/>
      <c r="HT202" s="28"/>
      <c r="HU202" s="28"/>
      <c r="HV202" s="28"/>
      <c r="HW202" s="28"/>
      <c r="HX202" s="28"/>
      <c r="HY202" s="28"/>
      <c r="HZ202" s="28"/>
      <c r="IA202" s="28"/>
      <c r="IB202" s="28"/>
      <c r="IC202" s="28"/>
      <c r="ID202" s="28"/>
      <c r="IE202" s="28"/>
      <c r="IF202" s="28"/>
      <c r="IG202" s="28"/>
      <c r="IH202" s="28"/>
      <c r="II202" s="28"/>
      <c r="IJ202" s="28"/>
      <c r="IK202" s="28"/>
      <c r="IL202" s="28"/>
      <c r="IM202" s="28"/>
      <c r="IN202" s="28"/>
      <c r="IO202" s="28"/>
      <c r="IP202" s="28"/>
      <c r="IQ202" s="28"/>
      <c r="IR202" s="28"/>
      <c r="IS202" s="28"/>
      <c r="IT202" s="28"/>
      <c r="IU202" s="28"/>
      <c r="IV202" s="28"/>
      <c r="IW202" s="28"/>
      <c r="IX202" s="28"/>
      <c r="IY202" s="28"/>
      <c r="IZ202" s="28"/>
      <c r="JA202" s="28"/>
      <c r="JB202" s="28"/>
      <c r="JC202" s="28"/>
      <c r="JD202" s="28"/>
      <c r="JE202" s="28"/>
      <c r="JF202" s="28"/>
      <c r="JG202" s="28"/>
      <c r="JH202" s="28"/>
      <c r="JI202" s="28"/>
      <c r="JJ202" s="28"/>
      <c r="JK202" s="28"/>
      <c r="JL202" s="28"/>
      <c r="JM202" s="28"/>
      <c r="JN202" s="28"/>
      <c r="JO202" s="28"/>
      <c r="JP202" s="28"/>
      <c r="JQ202" s="28"/>
      <c r="JR202" s="28"/>
      <c r="JS202" s="28"/>
      <c r="JT202" s="28"/>
      <c r="JU202" s="28"/>
      <c r="JV202" s="28"/>
      <c r="JW202" s="28"/>
      <c r="JX202" s="28"/>
      <c r="JY202" s="28"/>
      <c r="JZ202" s="28"/>
      <c r="KA202" s="28"/>
      <c r="KB202" s="28"/>
      <c r="KC202" s="28"/>
      <c r="KD202" s="28"/>
      <c r="KE202" s="28"/>
      <c r="KF202" s="28"/>
      <c r="KG202" s="28"/>
      <c r="KH202" s="28"/>
      <c r="KI202" s="28"/>
      <c r="KJ202" s="28"/>
      <c r="KK202" s="28"/>
      <c r="KL202" s="28"/>
      <c r="KM202" s="28"/>
      <c r="KN202" s="28"/>
      <c r="KO202" s="28"/>
      <c r="KP202" s="28"/>
      <c r="KQ202" s="28"/>
      <c r="KR202" s="28"/>
      <c r="KS202" s="28"/>
      <c r="KT202" s="28"/>
      <c r="KU202" s="28"/>
      <c r="KV202" s="28"/>
      <c r="KW202" s="28"/>
      <c r="KX202" s="28"/>
      <c r="KY202" s="28"/>
      <c r="KZ202" s="28"/>
      <c r="LA202" s="28"/>
      <c r="LB202" s="28"/>
      <c r="LC202" s="28"/>
      <c r="LD202" s="28"/>
      <c r="LE202" s="28"/>
      <c r="LF202" s="28"/>
      <c r="LG202" s="28"/>
      <c r="LH202" s="28"/>
      <c r="LI202" s="28"/>
      <c r="LJ202" s="28"/>
      <c r="LK202" s="28"/>
      <c r="LL202" s="28"/>
      <c r="LM202" s="28"/>
      <c r="LN202" s="28"/>
      <c r="LO202" s="28"/>
      <c r="LP202" s="28"/>
      <c r="LQ202" s="28"/>
      <c r="LR202" s="28"/>
      <c r="LS202" s="28"/>
      <c r="LT202" s="28"/>
      <c r="LU202" s="28"/>
      <c r="LV202" s="28"/>
      <c r="LW202" s="28"/>
      <c r="LX202" s="28"/>
      <c r="LY202" s="28"/>
      <c r="LZ202" s="28"/>
      <c r="MA202" s="28"/>
      <c r="MB202" s="28"/>
      <c r="MC202" s="28"/>
      <c r="MD202" s="28"/>
      <c r="ME202" s="28"/>
      <c r="MF202" s="28"/>
      <c r="MG202" s="28"/>
      <c r="MH202" s="28"/>
      <c r="MI202" s="28"/>
      <c r="MJ202" s="28"/>
      <c r="MK202" s="28"/>
      <c r="ML202" s="28"/>
      <c r="MM202" s="28"/>
      <c r="MN202" s="28"/>
      <c r="MO202" s="28"/>
      <c r="MP202" s="28"/>
      <c r="MQ202" s="28"/>
      <c r="MR202" s="28"/>
      <c r="MS202" s="28"/>
      <c r="MT202" s="28"/>
      <c r="MU202" s="28"/>
      <c r="MV202" s="28"/>
      <c r="MW202" s="28"/>
      <c r="MX202" s="28"/>
      <c r="MY202" s="28"/>
      <c r="MZ202" s="28"/>
      <c r="NA202" s="28"/>
      <c r="NB202" s="28"/>
      <c r="NC202" s="28"/>
      <c r="ND202" s="28"/>
      <c r="NE202" s="28"/>
      <c r="NF202" s="28"/>
      <c r="NG202" s="28"/>
      <c r="NH202" s="28"/>
      <c r="NI202" s="28"/>
      <c r="NJ202" s="28"/>
      <c r="NK202" s="28"/>
      <c r="NL202" s="28"/>
      <c r="NM202" s="28"/>
      <c r="NN202" s="28"/>
      <c r="NO202" s="28"/>
      <c r="NP202" s="28"/>
      <c r="NQ202" s="28"/>
      <c r="NR202" s="28"/>
      <c r="NS202" s="28"/>
      <c r="NT202" s="28"/>
      <c r="NU202" s="28"/>
      <c r="NV202" s="28"/>
      <c r="NW202" s="28"/>
      <c r="NX202" s="28"/>
      <c r="NY202" s="28"/>
      <c r="NZ202" s="28"/>
      <c r="OA202" s="28"/>
      <c r="OB202" s="28"/>
      <c r="OC202" s="28"/>
      <c r="OD202" s="28"/>
      <c r="OE202" s="28"/>
      <c r="OF202" s="28"/>
      <c r="OG202" s="28"/>
      <c r="OH202" s="28"/>
      <c r="OI202" s="28"/>
      <c r="OJ202" s="28"/>
      <c r="OK202" s="28"/>
      <c r="OL202" s="28"/>
      <c r="OM202" s="28"/>
      <c r="ON202" s="28"/>
      <c r="OO202" s="28"/>
      <c r="OP202" s="28"/>
      <c r="OQ202" s="28"/>
      <c r="OR202" s="28"/>
      <c r="OS202" s="28"/>
      <c r="OT202" s="28"/>
      <c r="OU202" s="28"/>
      <c r="OV202" s="28"/>
      <c r="OW202" s="28"/>
      <c r="OX202" s="28"/>
      <c r="OY202" s="28"/>
      <c r="OZ202" s="28"/>
      <c r="PA202" s="28"/>
      <c r="PB202" s="28"/>
      <c r="PC202" s="28"/>
      <c r="PD202" s="28"/>
      <c r="PE202" s="28"/>
      <c r="PF202" s="28"/>
      <c r="PG202" s="28"/>
      <c r="PH202" s="28"/>
      <c r="PI202" s="28"/>
      <c r="PJ202" s="28"/>
      <c r="PK202" s="28"/>
      <c r="PL202" s="28"/>
      <c r="PM202" s="28"/>
      <c r="PN202" s="28"/>
      <c r="PO202" s="28"/>
      <c r="PP202" s="28"/>
      <c r="PQ202" s="28"/>
      <c r="PR202" s="28"/>
      <c r="PS202" s="28"/>
      <c r="PT202" s="28"/>
      <c r="PU202" s="28"/>
      <c r="PV202" s="28"/>
      <c r="PW202" s="28"/>
      <c r="PX202" s="28"/>
      <c r="PY202" s="28"/>
      <c r="PZ202" s="28"/>
      <c r="QA202" s="28"/>
      <c r="QB202" s="28"/>
      <c r="QC202" s="28"/>
      <c r="QD202" s="28"/>
      <c r="QE202" s="28"/>
      <c r="QF202" s="28"/>
      <c r="QG202" s="28"/>
      <c r="QH202" s="28"/>
      <c r="QI202" s="28"/>
      <c r="QJ202" s="28"/>
      <c r="QK202" s="28"/>
      <c r="QL202" s="28"/>
      <c r="QM202" s="28"/>
      <c r="QN202" s="28"/>
      <c r="QO202" s="28"/>
      <c r="QP202" s="28"/>
      <c r="QQ202" s="28"/>
      <c r="QR202" s="28"/>
      <c r="QS202" s="28"/>
      <c r="QT202" s="28"/>
      <c r="QU202" s="28"/>
      <c r="QV202" s="28"/>
      <c r="QW202" s="28"/>
      <c r="QX202" s="28"/>
      <c r="QY202" s="28"/>
      <c r="QZ202" s="28"/>
      <c r="RA202" s="28"/>
      <c r="RB202" s="28"/>
      <c r="RC202" s="28"/>
      <c r="RD202" s="28"/>
      <c r="RE202" s="28"/>
      <c r="RF202" s="28"/>
      <c r="RG202" s="28"/>
      <c r="RH202" s="28"/>
      <c r="RI202" s="28"/>
      <c r="RJ202" s="28"/>
      <c r="RK202" s="28"/>
      <c r="RL202" s="28"/>
      <c r="RM202" s="28"/>
      <c r="RN202" s="28"/>
      <c r="RO202" s="28"/>
      <c r="RP202" s="28"/>
      <c r="RQ202" s="28"/>
      <c r="RR202" s="28"/>
      <c r="RS202" s="28"/>
      <c r="RT202" s="28"/>
      <c r="RU202" s="28"/>
      <c r="RV202" s="28"/>
      <c r="RW202" s="28"/>
      <c r="RX202" s="28"/>
      <c r="RY202" s="28"/>
      <c r="RZ202" s="28"/>
      <c r="SA202" s="28"/>
      <c r="SB202" s="28"/>
      <c r="SC202" s="28"/>
      <c r="SD202" s="28"/>
      <c r="SE202" s="28"/>
      <c r="SF202" s="28"/>
      <c r="SG202" s="28"/>
      <c r="SH202" s="28"/>
      <c r="SI202" s="28"/>
      <c r="SJ202" s="28"/>
      <c r="SK202" s="28"/>
      <c r="SL202" s="28"/>
      <c r="SM202" s="28"/>
      <c r="SN202" s="28"/>
      <c r="SO202" s="28"/>
      <c r="SP202" s="28"/>
      <c r="SQ202" s="28"/>
      <c r="SR202" s="28"/>
      <c r="SS202" s="28"/>
      <c r="ST202" s="28"/>
      <c r="SU202" s="28"/>
      <c r="SV202" s="28"/>
      <c r="SW202" s="28"/>
      <c r="SX202" s="28"/>
      <c r="SY202" s="28"/>
      <c r="SZ202" s="28"/>
      <c r="TA202" s="28"/>
      <c r="TB202" s="28"/>
      <c r="TC202" s="28"/>
      <c r="TD202" s="28"/>
      <c r="TE202" s="28"/>
      <c r="TF202" s="28"/>
      <c r="TG202" s="28"/>
      <c r="TH202" s="28"/>
      <c r="TI202" s="28"/>
      <c r="TJ202" s="28"/>
      <c r="TK202" s="28"/>
      <c r="TL202" s="28"/>
      <c r="TM202" s="28"/>
      <c r="TN202" s="28"/>
      <c r="TO202" s="28"/>
      <c r="TP202" s="28"/>
      <c r="TQ202" s="28"/>
      <c r="TR202" s="28"/>
      <c r="TS202" s="28"/>
      <c r="TT202" s="28"/>
      <c r="TU202" s="28"/>
      <c r="TV202" s="28"/>
      <c r="TW202" s="28"/>
      <c r="TX202" s="28"/>
      <c r="TY202" s="28"/>
      <c r="TZ202" s="28"/>
      <c r="UA202" s="28"/>
      <c r="UB202" s="28"/>
      <c r="UC202" s="28"/>
      <c r="UD202" s="28"/>
      <c r="UE202" s="28"/>
      <c r="UF202" s="28"/>
      <c r="UG202" s="28"/>
      <c r="UH202" s="28"/>
      <c r="UI202" s="28"/>
      <c r="UJ202" s="28"/>
      <c r="UK202" s="28"/>
      <c r="UL202" s="28"/>
      <c r="UM202" s="28"/>
      <c r="UN202" s="28"/>
      <c r="UO202" s="28"/>
      <c r="UP202" s="28"/>
      <c r="UQ202" s="28"/>
      <c r="UR202" s="28"/>
      <c r="US202" s="28"/>
      <c r="UT202" s="28"/>
      <c r="UU202" s="28"/>
      <c r="UV202" s="28"/>
      <c r="UW202" s="28"/>
      <c r="UX202" s="28"/>
      <c r="UY202" s="28"/>
      <c r="UZ202" s="28"/>
      <c r="VA202" s="28"/>
      <c r="VB202" s="28"/>
      <c r="VC202" s="28"/>
      <c r="VD202" s="28"/>
      <c r="VE202" s="28"/>
      <c r="VF202" s="28"/>
      <c r="VG202" s="28"/>
      <c r="VH202" s="28"/>
      <c r="VI202" s="28"/>
      <c r="VJ202" s="28"/>
      <c r="VK202" s="28"/>
      <c r="VL202" s="28"/>
      <c r="VM202" s="28"/>
      <c r="VN202" s="28"/>
      <c r="VO202" s="28"/>
      <c r="VP202" s="28"/>
      <c r="VQ202" s="28"/>
      <c r="VR202" s="28"/>
      <c r="VS202" s="28"/>
      <c r="VT202" s="28"/>
      <c r="VU202" s="28"/>
      <c r="VV202" s="28"/>
      <c r="VW202" s="28"/>
      <c r="VX202" s="28"/>
      <c r="VY202" s="28"/>
      <c r="VZ202" s="28"/>
      <c r="WA202" s="28"/>
      <c r="WB202" s="28"/>
      <c r="WC202" s="28"/>
      <c r="WD202" s="28"/>
      <c r="WE202" s="28"/>
      <c r="WF202" s="28"/>
      <c r="WG202" s="28"/>
      <c r="WH202" s="28"/>
      <c r="WI202" s="28"/>
      <c r="WJ202" s="28"/>
      <c r="WK202" s="28"/>
      <c r="WL202" s="28"/>
      <c r="WM202" s="28"/>
      <c r="WN202" s="28"/>
      <c r="WO202" s="28"/>
      <c r="WP202" s="28"/>
      <c r="WQ202" s="28"/>
      <c r="WR202" s="28"/>
      <c r="WS202" s="28"/>
      <c r="WT202" s="28"/>
      <c r="WU202" s="28"/>
      <c r="WV202" s="28"/>
      <c r="WW202" s="28"/>
      <c r="WX202" s="28"/>
      <c r="WY202" s="28"/>
      <c r="WZ202" s="28"/>
      <c r="XA202" s="28"/>
      <c r="XB202" s="28"/>
      <c r="XC202" s="28"/>
      <c r="XD202" s="28"/>
      <c r="XE202" s="28"/>
      <c r="XF202" s="28"/>
      <c r="XG202" s="28"/>
      <c r="XH202" s="28"/>
      <c r="XI202" s="28"/>
      <c r="XJ202" s="28"/>
      <c r="XK202" s="28"/>
      <c r="XL202" s="28"/>
      <c r="XM202" s="28"/>
      <c r="XN202" s="28"/>
      <c r="XO202" s="28"/>
      <c r="XP202" s="28"/>
      <c r="XQ202" s="28"/>
      <c r="XR202" s="28"/>
      <c r="XS202" s="28"/>
      <c r="XT202" s="28"/>
      <c r="XU202" s="28"/>
      <c r="XV202" s="28"/>
      <c r="XW202" s="28"/>
      <c r="XX202" s="28"/>
      <c r="XY202" s="28"/>
      <c r="XZ202" s="28"/>
      <c r="YA202" s="28"/>
      <c r="YB202" s="28"/>
      <c r="YC202" s="28"/>
      <c r="YD202" s="28"/>
      <c r="YE202" s="28"/>
      <c r="YF202" s="28"/>
      <c r="YG202" s="28"/>
      <c r="YH202" s="28"/>
      <c r="YI202" s="28"/>
      <c r="YJ202" s="28"/>
      <c r="YK202" s="28"/>
      <c r="YL202" s="28"/>
      <c r="YM202" s="28"/>
      <c r="YN202" s="28"/>
      <c r="YO202" s="28"/>
      <c r="YP202" s="28"/>
      <c r="YQ202" s="28"/>
      <c r="YR202" s="28"/>
      <c r="YS202" s="28"/>
      <c r="YT202" s="28"/>
      <c r="YU202" s="28"/>
      <c r="YV202" s="28"/>
      <c r="YW202" s="28"/>
      <c r="YX202" s="28"/>
      <c r="YY202" s="28"/>
      <c r="YZ202" s="28"/>
      <c r="ZA202" s="28"/>
      <c r="ZB202" s="28"/>
      <c r="ZC202" s="28"/>
      <c r="ZD202" s="28"/>
      <c r="ZE202" s="28"/>
      <c r="ZF202" s="28"/>
      <c r="ZG202" s="28"/>
      <c r="ZH202" s="28"/>
      <c r="ZI202" s="28"/>
      <c r="ZJ202" s="28"/>
      <c r="ZK202" s="28"/>
      <c r="ZL202" s="28"/>
      <c r="ZM202" s="28"/>
      <c r="ZN202" s="28"/>
      <c r="ZO202" s="28"/>
      <c r="ZP202" s="28"/>
      <c r="ZQ202" s="28"/>
      <c r="ZR202" s="28"/>
      <c r="ZS202" s="28"/>
      <c r="ZT202" s="28"/>
      <c r="ZU202" s="28"/>
      <c r="ZV202" s="28"/>
      <c r="ZW202" s="28"/>
      <c r="ZX202" s="28"/>
      <c r="ZY202" s="28"/>
      <c r="ZZ202" s="28"/>
      <c r="AAA202" s="28"/>
      <c r="AAB202" s="28"/>
      <c r="AAC202" s="28"/>
      <c r="AAD202" s="28"/>
      <c r="AAE202" s="28"/>
      <c r="AAF202" s="28"/>
      <c r="AAG202" s="28"/>
      <c r="AAH202" s="28"/>
      <c r="AAI202" s="28"/>
      <c r="AAJ202" s="28"/>
      <c r="AAK202" s="28"/>
      <c r="AAL202" s="28"/>
      <c r="AAM202" s="28"/>
      <c r="AAN202" s="28"/>
      <c r="AAO202" s="28"/>
      <c r="AAP202" s="28"/>
      <c r="AAQ202" s="28"/>
      <c r="AAR202" s="28"/>
      <c r="AAS202" s="28"/>
      <c r="AAT202" s="28"/>
      <c r="AAU202" s="28"/>
      <c r="AAV202" s="28"/>
      <c r="AAW202" s="28"/>
      <c r="AAX202" s="28"/>
      <c r="AAY202" s="28"/>
      <c r="AAZ202" s="28"/>
      <c r="ABA202" s="28"/>
      <c r="ABB202" s="28"/>
      <c r="ABC202" s="28"/>
      <c r="ABD202" s="28"/>
      <c r="ABE202" s="28"/>
      <c r="ABF202" s="28"/>
      <c r="ABG202" s="28"/>
      <c r="ABH202" s="28"/>
      <c r="ABI202" s="28"/>
      <c r="ABJ202" s="28"/>
      <c r="ABK202" s="28"/>
      <c r="ABL202" s="28"/>
      <c r="ABM202" s="28"/>
      <c r="ABN202" s="28"/>
      <c r="ABO202" s="28"/>
      <c r="ABP202" s="28"/>
      <c r="ABQ202" s="28"/>
      <c r="ABR202" s="28"/>
      <c r="ABS202" s="28"/>
      <c r="ABT202" s="28"/>
      <c r="ABU202" s="28"/>
      <c r="ABV202" s="28"/>
      <c r="ABW202" s="28"/>
      <c r="ABX202" s="28"/>
      <c r="ABY202" s="28"/>
      <c r="ABZ202" s="28"/>
      <c r="ACA202" s="28"/>
      <c r="ACB202" s="28"/>
      <c r="ACC202" s="28"/>
      <c r="ACD202" s="28"/>
      <c r="ACE202" s="28"/>
      <c r="ACF202" s="28"/>
      <c r="ACG202" s="28"/>
      <c r="ACH202" s="28"/>
      <c r="ACI202" s="28"/>
      <c r="ACJ202" s="28"/>
      <c r="ACK202" s="28"/>
      <c r="ACL202" s="28"/>
      <c r="ACM202" s="28"/>
      <c r="ACN202" s="28"/>
      <c r="ACO202" s="28"/>
      <c r="ACP202" s="28"/>
      <c r="ACQ202" s="28"/>
      <c r="ACR202" s="28"/>
      <c r="ACS202" s="28"/>
      <c r="ACT202" s="28"/>
      <c r="ACU202" s="28"/>
      <c r="ACV202" s="28"/>
      <c r="ACW202" s="28"/>
      <c r="ACX202" s="28"/>
      <c r="ACY202" s="28"/>
      <c r="ACZ202" s="28"/>
      <c r="ADA202" s="28"/>
      <c r="ADB202" s="28"/>
      <c r="ADC202" s="28"/>
      <c r="ADD202" s="28"/>
      <c r="ADE202" s="28"/>
      <c r="ADF202" s="28"/>
      <c r="ADG202" s="28"/>
      <c r="ADH202" s="28"/>
      <c r="ADI202" s="28"/>
      <c r="ADJ202" s="28"/>
      <c r="ADK202" s="28"/>
      <c r="ADL202" s="28"/>
      <c r="ADM202" s="28"/>
      <c r="ADN202" s="28"/>
      <c r="ADO202" s="28"/>
      <c r="ADP202" s="28"/>
      <c r="ADQ202" s="28"/>
      <c r="ADR202" s="28"/>
      <c r="ADS202" s="28"/>
      <c r="ADT202" s="28"/>
      <c r="ADU202" s="28"/>
      <c r="ADV202" s="28"/>
      <c r="ADW202" s="28"/>
      <c r="ADX202" s="28"/>
      <c r="ADY202" s="28"/>
      <c r="ADZ202" s="28"/>
      <c r="AEA202" s="28"/>
      <c r="AEB202" s="28"/>
      <c r="AEC202" s="28"/>
      <c r="AED202" s="28"/>
      <c r="AEE202" s="28"/>
      <c r="AEF202" s="28"/>
      <c r="AEG202" s="28"/>
      <c r="AEH202" s="28"/>
      <c r="AEI202" s="28"/>
      <c r="AEJ202" s="28"/>
      <c r="AEK202" s="28"/>
      <c r="AEL202" s="28"/>
      <c r="AEM202" s="28"/>
      <c r="AEN202" s="28"/>
      <c r="AEO202" s="28"/>
      <c r="AEP202" s="28"/>
      <c r="AEQ202" s="28"/>
      <c r="AER202" s="28"/>
      <c r="AES202" s="28"/>
      <c r="AET202" s="28"/>
      <c r="AEU202" s="28"/>
      <c r="AEV202" s="28"/>
      <c r="AEW202" s="28"/>
      <c r="AEX202" s="28"/>
      <c r="AEY202" s="28"/>
      <c r="AEZ202" s="28"/>
      <c r="AFA202" s="28"/>
      <c r="AFB202" s="28"/>
      <c r="AFC202" s="28"/>
      <c r="AFD202" s="28"/>
      <c r="AFE202" s="28"/>
      <c r="AFF202" s="28"/>
      <c r="AFG202" s="28"/>
      <c r="AFH202" s="28"/>
      <c r="AFI202" s="28"/>
      <c r="AFJ202" s="28"/>
      <c r="AFK202" s="28"/>
      <c r="AFL202" s="28"/>
      <c r="AFM202" s="28"/>
      <c r="AFN202" s="28"/>
      <c r="AFO202" s="28"/>
      <c r="AFP202" s="28"/>
      <c r="AFQ202" s="28"/>
      <c r="AFR202" s="28"/>
      <c r="AFS202" s="28"/>
      <c r="AFT202" s="28"/>
      <c r="AFU202" s="28"/>
      <c r="AFV202" s="28"/>
      <c r="AFW202" s="28"/>
      <c r="AFX202" s="28"/>
      <c r="AFY202" s="28"/>
      <c r="AFZ202" s="28"/>
      <c r="AGA202" s="28"/>
      <c r="AGB202" s="28"/>
      <c r="AGC202" s="28"/>
      <c r="AGD202" s="28"/>
      <c r="AGE202" s="28"/>
      <c r="AGF202" s="28"/>
      <c r="AGG202" s="28"/>
      <c r="AGH202" s="28"/>
      <c r="AGI202" s="28"/>
      <c r="AGJ202" s="28"/>
      <c r="AGK202" s="28"/>
      <c r="AGL202" s="28"/>
      <c r="AGM202" s="28"/>
      <c r="AGN202" s="28"/>
      <c r="AGO202" s="28"/>
      <c r="AGP202" s="28"/>
      <c r="AGQ202" s="28"/>
      <c r="AGR202" s="28"/>
      <c r="AGS202" s="28"/>
      <c r="AGT202" s="28"/>
      <c r="AGU202" s="28"/>
      <c r="AGV202" s="28"/>
      <c r="AGW202" s="28"/>
      <c r="AGX202" s="28"/>
      <c r="AGY202" s="28"/>
      <c r="AGZ202" s="28"/>
      <c r="AHA202" s="28"/>
      <c r="AHB202" s="28"/>
      <c r="AHC202" s="28"/>
      <c r="AHD202" s="28"/>
      <c r="AHE202" s="28"/>
      <c r="AHF202" s="28"/>
      <c r="AHG202" s="28"/>
      <c r="AHH202" s="28"/>
      <c r="AHI202" s="28"/>
      <c r="AHJ202" s="28"/>
      <c r="AHK202" s="28"/>
      <c r="AHL202" s="28"/>
      <c r="AHM202" s="28"/>
      <c r="AHN202" s="28"/>
      <c r="AHO202" s="28"/>
      <c r="AHP202" s="28"/>
      <c r="AHQ202" s="28"/>
      <c r="AHR202" s="28"/>
      <c r="AHS202" s="28"/>
      <c r="AHT202" s="28"/>
      <c r="AHU202" s="28"/>
      <c r="AHV202" s="28"/>
      <c r="AHW202" s="28"/>
      <c r="AHX202" s="28"/>
      <c r="AHY202" s="28"/>
      <c r="AHZ202" s="28"/>
      <c r="AIA202" s="28"/>
      <c r="AIB202" s="28"/>
      <c r="AIC202" s="28"/>
      <c r="AID202" s="28"/>
      <c r="AIE202" s="28"/>
      <c r="AIF202" s="28"/>
      <c r="AIG202" s="28"/>
      <c r="AIH202" s="28"/>
      <c r="AII202" s="28"/>
      <c r="AIJ202" s="28"/>
      <c r="AIK202" s="28"/>
      <c r="AIL202" s="28"/>
      <c r="AIM202" s="28"/>
      <c r="AIN202" s="28"/>
      <c r="AIO202" s="28"/>
      <c r="AIP202" s="28"/>
      <c r="AIQ202" s="28"/>
      <c r="AIR202" s="28"/>
      <c r="AIS202" s="28"/>
      <c r="AIT202" s="28"/>
      <c r="AIU202" s="28"/>
      <c r="AIV202" s="28"/>
      <c r="AIW202" s="28"/>
      <c r="AIX202" s="28"/>
      <c r="AIY202" s="28"/>
      <c r="AIZ202" s="28"/>
      <c r="AJA202" s="28"/>
      <c r="AJB202" s="28"/>
      <c r="AJC202" s="28"/>
      <c r="AJD202" s="28"/>
      <c r="AJE202" s="28"/>
      <c r="AJF202" s="28"/>
      <c r="AJG202" s="28"/>
      <c r="AJH202" s="28"/>
      <c r="AJI202" s="28"/>
      <c r="AJJ202" s="28"/>
      <c r="AJK202" s="28"/>
      <c r="AJL202" s="28"/>
      <c r="AJM202" s="28"/>
      <c r="AJN202" s="28"/>
      <c r="AJO202" s="28"/>
      <c r="AJP202" s="28"/>
      <c r="AJQ202" s="28"/>
      <c r="AJR202" s="28"/>
      <c r="AJS202" s="28"/>
      <c r="AJT202" s="28"/>
      <c r="AJU202" s="28"/>
      <c r="AJV202" s="28"/>
      <c r="AJW202" s="28"/>
      <c r="AJX202" s="28"/>
      <c r="AJY202" s="28"/>
      <c r="AJZ202" s="28"/>
      <c r="AKA202" s="28"/>
      <c r="AKB202" s="28"/>
      <c r="AKC202" s="28"/>
      <c r="AKD202" s="28"/>
      <c r="AKE202" s="28"/>
      <c r="AKF202" s="28"/>
      <c r="AKG202" s="28"/>
      <c r="AKH202" s="28"/>
      <c r="AKI202" s="28"/>
      <c r="AKJ202" s="28"/>
      <c r="AKK202" s="28"/>
      <c r="AKL202" s="28"/>
      <c r="AKM202" s="28"/>
      <c r="AKN202" s="28"/>
      <c r="AKO202" s="28"/>
      <c r="AKP202" s="28"/>
      <c r="AKQ202" s="28"/>
      <c r="AKR202" s="28"/>
      <c r="AKS202" s="28"/>
      <c r="AKT202" s="28"/>
      <c r="AKU202" s="28"/>
      <c r="AKV202" s="28"/>
      <c r="AKW202" s="28"/>
      <c r="AKX202" s="28"/>
      <c r="AKY202" s="28"/>
      <c r="AKZ202" s="28"/>
      <c r="ALA202" s="28"/>
      <c r="ALB202" s="28"/>
      <c r="ALC202" s="28"/>
      <c r="ALD202" s="28"/>
      <c r="ALE202" s="28"/>
      <c r="ALF202" s="28"/>
      <c r="ALG202" s="28"/>
      <c r="ALH202" s="28"/>
      <c r="ALI202" s="28"/>
      <c r="ALJ202" s="28"/>
      <c r="ALK202" s="28"/>
      <c r="ALL202" s="28"/>
      <c r="ALM202" s="28"/>
      <c r="ALN202" s="28"/>
      <c r="ALO202" s="28"/>
      <c r="ALP202" s="28"/>
      <c r="ALQ202" s="28"/>
      <c r="ALR202" s="28"/>
      <c r="ALS202" s="28"/>
      <c r="ALT202" s="28"/>
      <c r="ALU202" s="28"/>
      <c r="ALV202" s="28"/>
      <c r="ALW202" s="28"/>
      <c r="ALX202" s="28"/>
      <c r="ALY202" s="28"/>
      <c r="ALZ202" s="28"/>
      <c r="AMA202" s="28"/>
      <c r="AMB202" s="28"/>
      <c r="AMC202" s="28"/>
      <c r="AMD202" s="28"/>
      <c r="AME202" s="28"/>
      <c r="AMF202" s="28"/>
      <c r="AMG202" s="28"/>
      <c r="AMH202" s="28"/>
      <c r="AMI202" s="28"/>
      <c r="AMJ202" s="28"/>
      <c r="AMK202" s="28"/>
      <c r="AML202" s="28"/>
      <c r="AMM202" s="28"/>
      <c r="AMN202" s="28"/>
      <c r="AMO202" s="28"/>
      <c r="AMP202" s="28"/>
      <c r="AMQ202" s="28"/>
      <c r="AMR202" s="28"/>
      <c r="AMS202" s="28"/>
      <c r="AMT202" s="28"/>
      <c r="AMU202" s="28"/>
      <c r="AMV202" s="28"/>
      <c r="AMW202" s="28"/>
      <c r="AMX202" s="28"/>
      <c r="AMY202" s="28"/>
      <c r="AMZ202" s="28"/>
      <c r="ANA202" s="28"/>
      <c r="ANB202" s="28"/>
      <c r="ANC202" s="28"/>
      <c r="AND202" s="28"/>
      <c r="ANE202" s="28"/>
      <c r="ANF202" s="28"/>
      <c r="ANG202" s="28"/>
      <c r="ANH202" s="28"/>
      <c r="ANI202" s="28"/>
      <c r="ANJ202" s="28"/>
      <c r="ANK202" s="28"/>
      <c r="ANL202" s="28"/>
      <c r="ANM202" s="28"/>
      <c r="ANN202" s="28"/>
      <c r="ANO202" s="28"/>
      <c r="ANP202" s="28"/>
      <c r="ANQ202" s="28"/>
      <c r="ANR202" s="28"/>
      <c r="ANS202" s="28"/>
      <c r="ANT202" s="28"/>
      <c r="ANU202" s="28"/>
      <c r="ANV202" s="28"/>
      <c r="ANW202" s="28"/>
      <c r="ANX202" s="28"/>
      <c r="ANY202" s="28"/>
      <c r="ANZ202" s="28"/>
      <c r="AOA202" s="28"/>
      <c r="AOB202" s="28"/>
      <c r="AOC202" s="28"/>
      <c r="AOD202" s="28"/>
      <c r="AOE202" s="28"/>
      <c r="AOF202" s="28"/>
      <c r="AOG202" s="28"/>
      <c r="AOH202" s="28"/>
      <c r="AOI202" s="28"/>
      <c r="AOJ202" s="28"/>
      <c r="AOK202" s="28"/>
      <c r="AOL202" s="28"/>
      <c r="AOM202" s="28"/>
      <c r="AON202" s="28"/>
      <c r="AOO202" s="28"/>
      <c r="AOP202" s="28"/>
      <c r="AOQ202" s="28"/>
      <c r="AOR202" s="28"/>
      <c r="AOS202" s="28"/>
      <c r="AOT202" s="28"/>
      <c r="AOU202" s="28"/>
      <c r="AOV202" s="28"/>
      <c r="AOW202" s="28"/>
      <c r="AOX202" s="28"/>
      <c r="AOY202" s="28"/>
      <c r="AOZ202" s="28"/>
      <c r="APA202" s="28"/>
      <c r="APB202" s="28"/>
      <c r="APC202" s="28"/>
      <c r="APD202" s="28"/>
      <c r="APE202" s="28"/>
      <c r="APF202" s="28"/>
      <c r="APG202" s="28"/>
      <c r="APH202" s="28"/>
      <c r="API202" s="28"/>
      <c r="APJ202" s="28"/>
      <c r="APK202" s="28"/>
      <c r="APL202" s="28"/>
      <c r="APM202" s="28"/>
      <c r="APN202" s="28"/>
      <c r="APO202" s="28"/>
      <c r="APP202" s="28"/>
      <c r="APQ202" s="28"/>
      <c r="APR202" s="28"/>
      <c r="APS202" s="28"/>
      <c r="APT202" s="28"/>
      <c r="APU202" s="28"/>
      <c r="APV202" s="28"/>
      <c r="APW202" s="28"/>
      <c r="APX202" s="28"/>
      <c r="APY202" s="28"/>
      <c r="APZ202" s="28"/>
      <c r="AQA202" s="28"/>
      <c r="AQB202" s="28"/>
      <c r="AQC202" s="28"/>
      <c r="AQD202" s="28"/>
      <c r="AQE202" s="28"/>
      <c r="AQF202" s="28"/>
      <c r="AQG202" s="28"/>
      <c r="AQH202" s="28"/>
      <c r="AQI202" s="28"/>
      <c r="AQJ202" s="28"/>
      <c r="AQK202" s="28"/>
      <c r="AQL202" s="28"/>
      <c r="AQM202" s="28"/>
      <c r="AQN202" s="28"/>
      <c r="AQO202" s="28"/>
      <c r="AQP202" s="28"/>
      <c r="AQQ202" s="28"/>
      <c r="AQR202" s="28"/>
      <c r="AQS202" s="28"/>
      <c r="AQT202" s="28"/>
      <c r="AQU202" s="28"/>
      <c r="AQV202" s="28"/>
      <c r="AQW202" s="28"/>
      <c r="AQX202" s="28"/>
      <c r="AQY202" s="28"/>
      <c r="AQZ202" s="28"/>
      <c r="ARA202" s="28"/>
      <c r="ARB202" s="28"/>
      <c r="ARC202" s="28"/>
      <c r="ARD202" s="28"/>
      <c r="ARE202" s="28"/>
      <c r="ARF202" s="28"/>
      <c r="ARG202" s="28"/>
      <c r="ARH202" s="28"/>
      <c r="ARI202" s="28"/>
      <c r="ARJ202" s="28"/>
      <c r="ARK202" s="28"/>
      <c r="ARL202" s="28"/>
      <c r="ARM202" s="28"/>
      <c r="ARN202" s="28"/>
      <c r="ARO202" s="28"/>
      <c r="ARP202" s="28"/>
      <c r="ARQ202" s="28"/>
      <c r="ARR202" s="28"/>
      <c r="ARS202" s="28"/>
      <c r="ART202" s="28"/>
      <c r="ARU202" s="28"/>
      <c r="ARV202" s="28"/>
      <c r="ARW202" s="28"/>
      <c r="ARX202" s="28"/>
      <c r="ARY202" s="28"/>
      <c r="ARZ202" s="28"/>
      <c r="ASA202" s="28"/>
      <c r="ASB202" s="28"/>
      <c r="ASC202" s="28"/>
      <c r="ASD202" s="28"/>
      <c r="ASE202" s="28"/>
      <c r="ASF202" s="28"/>
      <c r="ASG202" s="28"/>
      <c r="ASH202" s="28"/>
      <c r="ASI202" s="28"/>
      <c r="ASJ202" s="28"/>
      <c r="ASK202" s="28"/>
      <c r="ASL202" s="28"/>
      <c r="ASM202" s="28"/>
      <c r="ASN202" s="28"/>
      <c r="ASO202" s="28"/>
      <c r="ASP202" s="28"/>
      <c r="ASQ202" s="28"/>
      <c r="ASR202" s="28"/>
      <c r="ASS202" s="28"/>
      <c r="AST202" s="28"/>
      <c r="ASU202" s="28"/>
      <c r="ASV202" s="28"/>
      <c r="ASW202" s="28"/>
      <c r="ASX202" s="28"/>
      <c r="ASY202" s="28"/>
      <c r="ASZ202" s="28"/>
      <c r="ATA202" s="28"/>
      <c r="ATB202" s="28"/>
      <c r="ATC202" s="28"/>
      <c r="ATD202" s="28"/>
      <c r="ATE202" s="28"/>
      <c r="ATF202" s="28"/>
      <c r="ATG202" s="28"/>
      <c r="ATH202" s="28"/>
      <c r="ATI202" s="28"/>
      <c r="ATJ202" s="28"/>
      <c r="ATK202" s="28"/>
      <c r="ATL202" s="28"/>
      <c r="ATM202" s="28"/>
      <c r="ATN202" s="28"/>
      <c r="ATO202" s="28"/>
      <c r="ATP202" s="28"/>
      <c r="ATQ202" s="28"/>
      <c r="ATR202" s="28"/>
      <c r="ATS202" s="28"/>
      <c r="ATT202" s="28"/>
      <c r="ATU202" s="28"/>
      <c r="ATV202" s="28"/>
      <c r="ATW202" s="28"/>
      <c r="ATX202" s="28"/>
      <c r="ATY202" s="28"/>
      <c r="ATZ202" s="28"/>
      <c r="AUA202" s="28"/>
      <c r="AUB202" s="28"/>
      <c r="AUC202" s="28"/>
      <c r="AUD202" s="28"/>
      <c r="AUE202" s="28"/>
      <c r="AUF202" s="28"/>
      <c r="AUG202" s="28"/>
      <c r="AUH202" s="28"/>
      <c r="AUI202" s="28"/>
      <c r="AUJ202" s="28"/>
      <c r="AUK202" s="28"/>
      <c r="AUL202" s="28"/>
      <c r="AUM202" s="28"/>
      <c r="AUN202" s="28"/>
      <c r="AUO202" s="28"/>
      <c r="AUP202" s="28"/>
      <c r="AUQ202" s="28"/>
      <c r="AUR202" s="28"/>
      <c r="AUS202" s="28"/>
      <c r="AUT202" s="28"/>
      <c r="AUU202" s="28"/>
      <c r="AUV202" s="28"/>
      <c r="AUW202" s="28"/>
      <c r="AUX202" s="28"/>
      <c r="AUY202" s="28"/>
      <c r="AUZ202" s="28"/>
      <c r="AVA202" s="28"/>
      <c r="AVB202" s="28"/>
      <c r="AVC202" s="28"/>
      <c r="AVD202" s="28"/>
      <c r="AVE202" s="28"/>
      <c r="AVF202" s="28"/>
      <c r="AVG202" s="28"/>
      <c r="AVH202" s="28"/>
      <c r="AVI202" s="28"/>
      <c r="AVJ202" s="28"/>
      <c r="AVK202" s="28"/>
      <c r="AVL202" s="28"/>
      <c r="AVM202" s="28"/>
      <c r="AVN202" s="28"/>
      <c r="AVO202" s="28"/>
      <c r="AVP202" s="28"/>
      <c r="AVQ202" s="28"/>
      <c r="AVR202" s="28"/>
      <c r="AVS202" s="28"/>
      <c r="AVT202" s="28"/>
      <c r="AVU202" s="28"/>
      <c r="AVV202" s="28"/>
      <c r="AVW202" s="28"/>
      <c r="AVX202" s="28"/>
      <c r="AVY202" s="28"/>
      <c r="AVZ202" s="28"/>
      <c r="AWA202" s="28"/>
      <c r="AWB202" s="28"/>
      <c r="AWC202" s="28"/>
      <c r="AWD202" s="28"/>
      <c r="AWE202" s="28"/>
      <c r="AWF202" s="28"/>
      <c r="AWG202" s="28"/>
      <c r="AWH202" s="28"/>
      <c r="AWI202" s="28"/>
      <c r="AWJ202" s="28"/>
      <c r="AWK202" s="28"/>
      <c r="AWL202" s="28"/>
      <c r="AWM202" s="28"/>
      <c r="AWN202" s="28"/>
      <c r="AWO202" s="28"/>
      <c r="AWP202" s="28"/>
      <c r="AWQ202" s="28"/>
      <c r="AWR202" s="28"/>
      <c r="AWS202" s="28"/>
      <c r="AWT202" s="28"/>
      <c r="AWU202" s="28"/>
      <c r="AWV202" s="28"/>
      <c r="AWW202" s="28"/>
      <c r="AWX202" s="28"/>
      <c r="AWY202" s="28"/>
      <c r="AWZ202" s="28"/>
      <c r="AXA202" s="28"/>
      <c r="AXB202" s="28"/>
      <c r="AXC202" s="28"/>
      <c r="AXD202" s="28"/>
      <c r="AXE202" s="28"/>
      <c r="AXF202" s="28"/>
      <c r="AXG202" s="28"/>
      <c r="AXH202" s="28"/>
      <c r="AXI202" s="28"/>
      <c r="AXJ202" s="28"/>
      <c r="AXK202" s="28"/>
      <c r="AXL202" s="28"/>
      <c r="AXM202" s="28"/>
      <c r="AXN202" s="28"/>
      <c r="AXO202" s="28"/>
      <c r="AXP202" s="28"/>
      <c r="AXQ202" s="28"/>
      <c r="AXR202" s="28"/>
      <c r="AXS202" s="28"/>
      <c r="AXT202" s="28"/>
      <c r="AXU202" s="28"/>
      <c r="AXV202" s="28"/>
      <c r="AXW202" s="28"/>
      <c r="AXX202" s="28"/>
      <c r="AXY202" s="28"/>
      <c r="AXZ202" s="28"/>
      <c r="AYA202" s="28"/>
      <c r="AYB202" s="28"/>
      <c r="AYC202" s="28"/>
      <c r="AYD202" s="28"/>
      <c r="AYE202" s="28"/>
      <c r="AYF202" s="28"/>
      <c r="AYG202" s="28"/>
      <c r="AYH202" s="28"/>
      <c r="AYI202" s="28"/>
      <c r="AYJ202" s="28"/>
      <c r="AYK202" s="28"/>
      <c r="AYL202" s="28"/>
      <c r="AYM202" s="28"/>
      <c r="AYN202" s="28"/>
      <c r="AYO202" s="28"/>
      <c r="AYP202" s="28"/>
      <c r="AYQ202" s="28"/>
      <c r="AYR202" s="28"/>
      <c r="AYS202" s="28"/>
      <c r="AYT202" s="28"/>
      <c r="AYU202" s="28"/>
      <c r="AYV202" s="28"/>
      <c r="AYW202" s="28"/>
      <c r="AYX202" s="28"/>
      <c r="AYY202" s="28"/>
      <c r="AYZ202" s="28"/>
      <c r="AZA202" s="28"/>
      <c r="AZB202" s="28"/>
      <c r="AZC202" s="28"/>
      <c r="AZD202" s="28"/>
      <c r="AZE202" s="28"/>
      <c r="AZF202" s="28"/>
      <c r="AZG202" s="28"/>
      <c r="AZH202" s="28"/>
      <c r="AZI202" s="28"/>
      <c r="AZJ202" s="28"/>
      <c r="AZK202" s="28"/>
      <c r="AZL202" s="28"/>
      <c r="AZM202" s="28"/>
      <c r="AZN202" s="28"/>
      <c r="AZO202" s="28"/>
      <c r="AZP202" s="28"/>
      <c r="AZQ202" s="28"/>
      <c r="AZR202" s="28"/>
      <c r="AZS202" s="28"/>
      <c r="AZT202" s="28"/>
      <c r="AZU202" s="28"/>
      <c r="AZV202" s="28"/>
      <c r="AZW202" s="28"/>
      <c r="AZX202" s="28"/>
      <c r="AZY202" s="28"/>
      <c r="AZZ202" s="28"/>
      <c r="BAA202" s="28"/>
      <c r="BAB202" s="28"/>
      <c r="BAC202" s="28"/>
      <c r="BAD202" s="28"/>
      <c r="BAE202" s="28"/>
      <c r="BAF202" s="28"/>
      <c r="BAG202" s="28"/>
      <c r="BAH202" s="28"/>
      <c r="BAI202" s="28"/>
      <c r="BAJ202" s="28"/>
      <c r="BAK202" s="28"/>
      <c r="BAL202" s="28"/>
      <c r="BAM202" s="28"/>
      <c r="BAN202" s="28"/>
      <c r="BAO202" s="28"/>
      <c r="BAP202" s="28"/>
      <c r="BAQ202" s="28"/>
      <c r="BAR202" s="28"/>
      <c r="BAS202" s="28"/>
      <c r="BAT202" s="28"/>
      <c r="BAU202" s="28"/>
      <c r="BAV202" s="28"/>
      <c r="BAW202" s="28"/>
      <c r="BAX202" s="28"/>
      <c r="BAY202" s="28"/>
      <c r="BAZ202" s="28"/>
      <c r="BBA202" s="28"/>
      <c r="BBB202" s="28"/>
      <c r="BBC202" s="28"/>
      <c r="BBD202" s="28"/>
      <c r="BBE202" s="28"/>
      <c r="BBF202" s="28"/>
      <c r="BBG202" s="28"/>
      <c r="BBH202" s="28"/>
      <c r="BBI202" s="28"/>
      <c r="BBJ202" s="28"/>
      <c r="BBK202" s="28"/>
      <c r="BBL202" s="28"/>
      <c r="BBM202" s="28"/>
      <c r="BBN202" s="28"/>
      <c r="BBO202" s="28"/>
      <c r="BBP202" s="28"/>
      <c r="BBQ202" s="28"/>
      <c r="BBR202" s="28"/>
      <c r="BBS202" s="28"/>
      <c r="BBT202" s="28"/>
      <c r="BBU202" s="28"/>
      <c r="BBV202" s="28"/>
      <c r="BBW202" s="28"/>
      <c r="BBX202" s="28"/>
      <c r="BBY202" s="28"/>
      <c r="BBZ202" s="28"/>
      <c r="BCA202" s="28"/>
      <c r="BCB202" s="28"/>
      <c r="BCC202" s="28"/>
      <c r="BCD202" s="28"/>
      <c r="BCE202" s="28"/>
      <c r="BCF202" s="28"/>
      <c r="BCG202" s="28"/>
      <c r="BCH202" s="28"/>
      <c r="BCI202" s="28"/>
      <c r="BCJ202" s="28"/>
      <c r="BCK202" s="28"/>
      <c r="BCL202" s="28"/>
      <c r="BCM202" s="28"/>
      <c r="BCN202" s="28"/>
      <c r="BCO202" s="28"/>
      <c r="BCP202" s="28"/>
      <c r="BCQ202" s="28"/>
      <c r="BCR202" s="28"/>
      <c r="BCS202" s="28"/>
      <c r="BCT202" s="28"/>
      <c r="BCU202" s="28"/>
      <c r="BCV202" s="28"/>
      <c r="BCW202" s="28"/>
      <c r="BCX202" s="28"/>
      <c r="BCY202" s="28"/>
      <c r="BCZ202" s="28"/>
      <c r="BDA202" s="28"/>
      <c r="BDB202" s="28"/>
      <c r="BDC202" s="28"/>
      <c r="BDD202" s="28"/>
      <c r="BDE202" s="28"/>
      <c r="BDF202" s="28"/>
      <c r="BDG202" s="28"/>
      <c r="BDH202" s="28"/>
      <c r="BDI202" s="28"/>
      <c r="BDJ202" s="28"/>
      <c r="BDK202" s="28"/>
      <c r="BDL202" s="28"/>
      <c r="BDM202" s="28"/>
      <c r="BDN202" s="28"/>
      <c r="BDO202" s="28"/>
      <c r="BDP202" s="28"/>
      <c r="BDQ202" s="28"/>
      <c r="BDR202" s="28"/>
      <c r="BDS202" s="28"/>
      <c r="BDT202" s="28"/>
      <c r="BDU202" s="28"/>
      <c r="BDV202" s="28"/>
      <c r="BDW202" s="28"/>
      <c r="BDX202" s="28"/>
      <c r="BDY202" s="28"/>
      <c r="BDZ202" s="28"/>
      <c r="BEA202" s="28"/>
      <c r="BEB202" s="28"/>
      <c r="BEC202" s="28"/>
      <c r="BED202" s="28"/>
      <c r="BEE202" s="28"/>
      <c r="BEF202" s="28"/>
      <c r="BEG202" s="28"/>
      <c r="BEH202" s="28"/>
      <c r="BEI202" s="28"/>
      <c r="BEJ202" s="28"/>
      <c r="BEK202" s="28"/>
      <c r="BEL202" s="28"/>
      <c r="BEM202" s="28"/>
      <c r="BEN202" s="28"/>
      <c r="BEO202" s="28"/>
      <c r="BEP202" s="28"/>
      <c r="BEQ202" s="28"/>
      <c r="BER202" s="28"/>
      <c r="BES202" s="28"/>
      <c r="BET202" s="28"/>
      <c r="BEU202" s="28"/>
      <c r="BEV202" s="28"/>
      <c r="BEW202" s="28"/>
      <c r="BEX202" s="28"/>
      <c r="BEY202" s="28"/>
      <c r="BEZ202" s="28"/>
      <c r="BFA202" s="28"/>
      <c r="BFB202" s="28"/>
      <c r="BFC202" s="28"/>
      <c r="BFD202" s="28"/>
      <c r="BFE202" s="28"/>
      <c r="BFF202" s="28"/>
      <c r="BFG202" s="28"/>
      <c r="BFH202" s="28"/>
      <c r="BFI202" s="28"/>
      <c r="BFJ202" s="28"/>
      <c r="BFK202" s="28"/>
      <c r="BFL202" s="28"/>
      <c r="BFM202" s="28"/>
      <c r="BFN202" s="28"/>
      <c r="BFO202" s="28"/>
      <c r="BFP202" s="28"/>
      <c r="BFQ202" s="28"/>
      <c r="BFR202" s="28"/>
      <c r="BFS202" s="28"/>
      <c r="BFT202" s="28"/>
      <c r="BFU202" s="28"/>
      <c r="BFV202" s="28"/>
      <c r="BFW202" s="28"/>
      <c r="BFX202" s="28"/>
      <c r="BFY202" s="28"/>
      <c r="BFZ202" s="28"/>
      <c r="BGA202" s="28"/>
      <c r="BGB202" s="28"/>
      <c r="BGC202" s="28"/>
      <c r="BGD202" s="28"/>
      <c r="BGE202" s="28"/>
      <c r="BGF202" s="28"/>
      <c r="BGG202" s="28"/>
      <c r="BGH202" s="28"/>
      <c r="BGI202" s="28"/>
      <c r="BGJ202" s="28"/>
      <c r="BGK202" s="28"/>
      <c r="BGL202" s="28"/>
      <c r="BGM202" s="28"/>
      <c r="BGN202" s="28"/>
      <c r="BGO202" s="28"/>
      <c r="BGP202" s="28"/>
      <c r="BGQ202" s="28"/>
      <c r="BGR202" s="28"/>
      <c r="BGS202" s="28"/>
      <c r="BGT202" s="28"/>
      <c r="BGU202" s="28"/>
      <c r="BGV202" s="28"/>
      <c r="BGW202" s="28"/>
      <c r="BGX202" s="28"/>
      <c r="BGY202" s="28"/>
      <c r="BGZ202" s="28"/>
      <c r="BHA202" s="28"/>
      <c r="BHB202" s="28"/>
      <c r="BHC202" s="28"/>
      <c r="BHD202" s="28"/>
      <c r="BHE202" s="28"/>
      <c r="BHF202" s="28"/>
      <c r="BHG202" s="28"/>
      <c r="BHH202" s="28"/>
      <c r="BHI202" s="28"/>
      <c r="BHJ202" s="28"/>
      <c r="BHK202" s="28"/>
      <c r="BHL202" s="28"/>
      <c r="BHM202" s="28"/>
      <c r="BHN202" s="28"/>
      <c r="BHO202" s="28"/>
      <c r="BHP202" s="28"/>
      <c r="BHQ202" s="28"/>
      <c r="BHR202" s="28"/>
      <c r="BHS202" s="28"/>
      <c r="BHT202" s="28"/>
      <c r="BHU202" s="28"/>
      <c r="BHV202" s="28"/>
      <c r="BHW202" s="28"/>
      <c r="BHX202" s="28"/>
      <c r="BHY202" s="28"/>
      <c r="BHZ202" s="28"/>
      <c r="BIA202" s="28"/>
      <c r="BIB202" s="28"/>
      <c r="BIC202" s="28"/>
      <c r="BID202" s="28"/>
      <c r="BIE202" s="28"/>
      <c r="BIF202" s="28"/>
      <c r="BIG202" s="28"/>
      <c r="BIH202" s="28"/>
      <c r="BII202" s="28"/>
      <c r="BIJ202" s="28"/>
      <c r="BIK202" s="28"/>
      <c r="BIL202" s="28"/>
      <c r="BIM202" s="28"/>
      <c r="BIN202" s="28"/>
      <c r="BIO202" s="28"/>
      <c r="BIP202" s="28"/>
      <c r="BIQ202" s="28"/>
      <c r="BIR202" s="28"/>
      <c r="BIS202" s="28"/>
      <c r="BIT202" s="28"/>
      <c r="BIU202" s="28"/>
      <c r="BIV202" s="28"/>
      <c r="BIW202" s="28"/>
      <c r="BIX202" s="28"/>
      <c r="BIY202" s="28"/>
      <c r="BIZ202" s="28"/>
      <c r="BJA202" s="28"/>
      <c r="BJB202" s="28"/>
      <c r="BJC202" s="28"/>
      <c r="BJD202" s="28"/>
      <c r="BJE202" s="28"/>
      <c r="BJF202" s="28"/>
      <c r="BJG202" s="28"/>
      <c r="BJH202" s="28"/>
      <c r="BJI202" s="28"/>
      <c r="BJJ202" s="28"/>
      <c r="BJK202" s="28"/>
      <c r="BJL202" s="28"/>
      <c r="BJM202" s="28"/>
      <c r="BJN202" s="28"/>
      <c r="BJO202" s="28"/>
      <c r="BJP202" s="28"/>
      <c r="BJQ202" s="28"/>
      <c r="BJR202" s="28"/>
      <c r="BJS202" s="28"/>
      <c r="BJT202" s="28"/>
      <c r="BJU202" s="28"/>
      <c r="BJV202" s="28"/>
      <c r="BJW202" s="28"/>
      <c r="BJX202" s="28"/>
      <c r="BJY202" s="28"/>
      <c r="BJZ202" s="28"/>
      <c r="BKA202" s="28"/>
      <c r="BKB202" s="28"/>
      <c r="BKC202" s="28"/>
      <c r="BKD202" s="28"/>
      <c r="BKE202" s="28"/>
      <c r="BKF202" s="28"/>
      <c r="BKG202" s="28"/>
      <c r="BKH202" s="28"/>
      <c r="BKI202" s="28"/>
      <c r="BKJ202" s="28"/>
      <c r="BKK202" s="28"/>
      <c r="BKL202" s="28"/>
      <c r="BKM202" s="28"/>
      <c r="BKN202" s="28"/>
      <c r="BKO202" s="28"/>
      <c r="BKP202" s="28"/>
      <c r="BKQ202" s="28"/>
      <c r="BKR202" s="28"/>
      <c r="BKS202" s="28"/>
      <c r="BKT202" s="28"/>
      <c r="BKU202" s="28"/>
      <c r="BKV202" s="28"/>
      <c r="BKW202" s="28"/>
      <c r="BKX202" s="28"/>
      <c r="BKY202" s="28"/>
      <c r="BKZ202" s="28"/>
      <c r="BLA202" s="28"/>
      <c r="BLB202" s="28"/>
      <c r="BLC202" s="28"/>
      <c r="BLD202" s="28"/>
      <c r="BLE202" s="28"/>
      <c r="BLF202" s="28"/>
      <c r="BLG202" s="28"/>
      <c r="BLH202" s="28"/>
      <c r="BLI202" s="28"/>
      <c r="BLJ202" s="28"/>
      <c r="BLK202" s="28"/>
      <c r="BLL202" s="28"/>
      <c r="BLM202" s="28"/>
      <c r="BLN202" s="28"/>
      <c r="BLO202" s="28"/>
      <c r="BLP202" s="28"/>
      <c r="BLQ202" s="28"/>
      <c r="BLR202" s="28"/>
      <c r="BLS202" s="28"/>
      <c r="BLT202" s="28"/>
      <c r="BLU202" s="28"/>
      <c r="BLV202" s="28"/>
      <c r="BLW202" s="28"/>
      <c r="BLX202" s="28"/>
      <c r="BLY202" s="28"/>
      <c r="BLZ202" s="28"/>
      <c r="BMA202" s="28"/>
      <c r="BMB202" s="28"/>
      <c r="BMC202" s="28"/>
      <c r="BMD202" s="28"/>
      <c r="BME202" s="28"/>
      <c r="BMF202" s="28"/>
      <c r="BMG202" s="28"/>
      <c r="BMH202" s="28"/>
      <c r="BMI202" s="28"/>
      <c r="BMJ202" s="28"/>
      <c r="BMK202" s="28"/>
      <c r="BML202" s="28"/>
      <c r="BMM202" s="28"/>
      <c r="BMN202" s="28"/>
      <c r="BMO202" s="28"/>
      <c r="BMP202" s="28"/>
      <c r="BMQ202" s="28"/>
      <c r="BMR202" s="28"/>
      <c r="BMS202" s="28"/>
      <c r="BMT202" s="28"/>
      <c r="BMU202" s="28"/>
      <c r="BMV202" s="28"/>
      <c r="BMW202" s="28"/>
      <c r="BMX202" s="28"/>
      <c r="BMY202" s="28"/>
      <c r="BMZ202" s="28"/>
      <c r="BNA202" s="28"/>
      <c r="BNB202" s="28"/>
      <c r="BNC202" s="28"/>
      <c r="BND202" s="28"/>
      <c r="BNE202" s="28"/>
      <c r="BNF202" s="28"/>
      <c r="BNG202" s="28"/>
      <c r="BNH202" s="28"/>
      <c r="BNI202" s="28"/>
      <c r="BNJ202" s="28"/>
      <c r="BNK202" s="28"/>
      <c r="BNL202" s="28"/>
      <c r="BNM202" s="28"/>
      <c r="BNN202" s="28"/>
      <c r="BNO202" s="28"/>
      <c r="BNP202" s="28"/>
      <c r="BNQ202" s="28"/>
      <c r="BNR202" s="28"/>
      <c r="BNS202" s="28"/>
      <c r="BNT202" s="28"/>
      <c r="BNU202" s="28"/>
      <c r="BNV202" s="28"/>
      <c r="BNW202" s="28"/>
      <c r="BNX202" s="28"/>
      <c r="BNY202" s="28"/>
      <c r="BNZ202" s="28"/>
      <c r="BOA202" s="28"/>
      <c r="BOB202" s="28"/>
      <c r="BOC202" s="28"/>
      <c r="BOD202" s="28"/>
      <c r="BOE202" s="28"/>
      <c r="BOF202" s="28"/>
      <c r="BOG202" s="28"/>
      <c r="BOH202" s="28"/>
      <c r="BOI202" s="28"/>
      <c r="BOJ202" s="28"/>
      <c r="BOK202" s="28"/>
      <c r="BOL202" s="28"/>
      <c r="BOM202" s="28"/>
      <c r="BON202" s="28"/>
      <c r="BOO202" s="28"/>
      <c r="BOP202" s="28"/>
      <c r="BOQ202" s="28"/>
      <c r="BOR202" s="28"/>
      <c r="BOS202" s="28"/>
      <c r="BOT202" s="28"/>
      <c r="BOU202" s="28"/>
      <c r="BOV202" s="28"/>
      <c r="BOW202" s="28"/>
      <c r="BOX202" s="28"/>
      <c r="BOY202" s="28"/>
      <c r="BOZ202" s="28"/>
      <c r="BPA202" s="28"/>
      <c r="BPB202" s="28"/>
      <c r="BPC202" s="28"/>
      <c r="BPD202" s="28"/>
      <c r="BPE202" s="28"/>
      <c r="BPF202" s="28"/>
      <c r="BPG202" s="28"/>
      <c r="BPH202" s="28"/>
      <c r="BPI202" s="28"/>
      <c r="BPJ202" s="28"/>
      <c r="BPK202" s="28"/>
      <c r="BPL202" s="28"/>
      <c r="BPM202" s="28"/>
      <c r="BPN202" s="28"/>
      <c r="BPO202" s="28"/>
      <c r="BPP202" s="28"/>
      <c r="BPQ202" s="28"/>
      <c r="BPR202" s="28"/>
      <c r="BPS202" s="28"/>
      <c r="BPT202" s="28"/>
      <c r="BPU202" s="28"/>
      <c r="BPV202" s="28"/>
      <c r="BPW202" s="28"/>
      <c r="BPX202" s="28"/>
      <c r="BPY202" s="28"/>
      <c r="BPZ202" s="28"/>
      <c r="BQA202" s="28"/>
      <c r="BQB202" s="28"/>
      <c r="BQC202" s="28"/>
      <c r="BQD202" s="28"/>
      <c r="BQE202" s="28"/>
      <c r="BQF202" s="28"/>
      <c r="BQG202" s="28"/>
      <c r="BQH202" s="28"/>
      <c r="BQI202" s="28"/>
      <c r="BQJ202" s="28"/>
      <c r="BQK202" s="28"/>
      <c r="BQL202" s="28"/>
      <c r="BQM202" s="28"/>
      <c r="BQN202" s="28"/>
      <c r="BQO202" s="28"/>
      <c r="BQP202" s="28"/>
      <c r="BQQ202" s="28"/>
      <c r="BQR202" s="28"/>
      <c r="BQS202" s="28"/>
      <c r="BQT202" s="28"/>
      <c r="BQU202" s="28"/>
      <c r="BQV202" s="28"/>
      <c r="BQW202" s="28"/>
      <c r="BQX202" s="28"/>
      <c r="BQY202" s="28"/>
      <c r="BQZ202" s="28"/>
      <c r="BRA202" s="28"/>
      <c r="BRB202" s="28"/>
      <c r="BRC202" s="28"/>
      <c r="BRD202" s="28"/>
      <c r="BRE202" s="28"/>
      <c r="BRF202" s="28"/>
      <c r="BRG202" s="28"/>
      <c r="BRH202" s="28"/>
      <c r="BRI202" s="28"/>
      <c r="BRJ202" s="28"/>
      <c r="BRK202" s="28"/>
      <c r="BRL202" s="28"/>
      <c r="BRM202" s="28"/>
      <c r="BRN202" s="28"/>
      <c r="BRO202" s="28"/>
      <c r="BRP202" s="28"/>
      <c r="BRQ202" s="28"/>
      <c r="BRR202" s="28"/>
      <c r="BRS202" s="28"/>
      <c r="BRT202" s="28"/>
      <c r="BRU202" s="28"/>
      <c r="BRV202" s="28"/>
      <c r="BRW202" s="28"/>
      <c r="BRX202" s="28"/>
      <c r="BRY202" s="28"/>
      <c r="BRZ202" s="28"/>
      <c r="BSA202" s="28"/>
      <c r="BSB202" s="28"/>
      <c r="BSC202" s="28"/>
      <c r="BSD202" s="28"/>
      <c r="BSE202" s="28"/>
      <c r="BSF202" s="28"/>
      <c r="BSG202" s="28"/>
      <c r="BSH202" s="28"/>
      <c r="BSI202" s="28"/>
      <c r="BSJ202" s="28"/>
      <c r="BSK202" s="28"/>
      <c r="BSL202" s="28"/>
      <c r="BSM202" s="28"/>
      <c r="BSN202" s="28"/>
      <c r="BSO202" s="28"/>
      <c r="BSP202" s="28"/>
      <c r="BSQ202" s="28"/>
      <c r="BSR202" s="28"/>
      <c r="BSS202" s="28"/>
      <c r="BST202" s="28"/>
      <c r="BSU202" s="28"/>
      <c r="BSV202" s="28"/>
      <c r="BSW202" s="28"/>
      <c r="BSX202" s="28"/>
      <c r="BSY202" s="28"/>
      <c r="BSZ202" s="28"/>
      <c r="BTA202" s="28"/>
      <c r="BTB202" s="28"/>
      <c r="BTC202" s="28"/>
      <c r="BTD202" s="28"/>
      <c r="BTE202" s="28"/>
      <c r="BTF202" s="28"/>
      <c r="BTG202" s="28"/>
      <c r="BTH202" s="28"/>
      <c r="BTI202" s="28"/>
      <c r="BTJ202" s="28"/>
      <c r="BTK202" s="28"/>
      <c r="BTL202" s="28"/>
      <c r="BTM202" s="28"/>
      <c r="BTN202" s="28"/>
      <c r="BTO202" s="28"/>
      <c r="BTP202" s="28"/>
      <c r="BTQ202" s="28"/>
      <c r="BTR202" s="28"/>
      <c r="BTS202" s="28"/>
      <c r="BTT202" s="28"/>
      <c r="BTU202" s="28"/>
      <c r="BTV202" s="28"/>
      <c r="BTW202" s="28"/>
      <c r="BTX202" s="28"/>
      <c r="BTY202" s="28"/>
      <c r="BTZ202" s="28"/>
      <c r="BUA202" s="28"/>
      <c r="BUB202" s="28"/>
      <c r="BUC202" s="28"/>
      <c r="BUD202" s="28"/>
      <c r="BUE202" s="28"/>
      <c r="BUF202" s="28"/>
      <c r="BUG202" s="28"/>
      <c r="BUH202" s="28"/>
      <c r="BUI202" s="28"/>
      <c r="BUJ202" s="28"/>
      <c r="BUK202" s="28"/>
      <c r="BUL202" s="28"/>
      <c r="BUM202" s="28"/>
      <c r="BUN202" s="28"/>
      <c r="BUO202" s="28"/>
      <c r="BUP202" s="28"/>
      <c r="BUQ202" s="28"/>
      <c r="BUR202" s="28"/>
      <c r="BUS202" s="28"/>
      <c r="BUT202" s="28"/>
      <c r="BUU202" s="28"/>
      <c r="BUV202" s="28"/>
      <c r="BUW202" s="28"/>
      <c r="BUX202" s="28"/>
      <c r="BUY202" s="28"/>
      <c r="BUZ202" s="28"/>
      <c r="BVA202" s="28"/>
      <c r="BVB202" s="28"/>
      <c r="BVC202" s="28"/>
      <c r="BVD202" s="28"/>
      <c r="BVE202" s="28"/>
      <c r="BVF202" s="28"/>
      <c r="BVG202" s="28"/>
      <c r="BVH202" s="28"/>
      <c r="BVI202" s="28"/>
      <c r="BVJ202" s="28"/>
      <c r="BVK202" s="28"/>
      <c r="BVL202" s="28"/>
      <c r="BVM202" s="28"/>
      <c r="BVN202" s="28"/>
      <c r="BVO202" s="28"/>
      <c r="BVP202" s="28"/>
      <c r="BVQ202" s="28"/>
      <c r="BVR202" s="28"/>
      <c r="BVS202" s="28"/>
      <c r="BVT202" s="28"/>
      <c r="BVU202" s="28"/>
      <c r="BVV202" s="28"/>
      <c r="BVW202" s="28"/>
      <c r="BVX202" s="28"/>
      <c r="BVY202" s="28"/>
      <c r="BVZ202" s="28"/>
      <c r="BWA202" s="28"/>
      <c r="BWB202" s="28"/>
      <c r="BWC202" s="28"/>
      <c r="BWD202" s="28"/>
      <c r="BWE202" s="28"/>
      <c r="BWF202" s="28"/>
      <c r="BWG202" s="28"/>
      <c r="BWH202" s="28"/>
      <c r="BWI202" s="28"/>
      <c r="BWJ202" s="28"/>
      <c r="BWK202" s="28"/>
      <c r="BWL202" s="28"/>
      <c r="BWM202" s="28"/>
      <c r="BWN202" s="28"/>
      <c r="BWO202" s="28"/>
      <c r="BWP202" s="28"/>
      <c r="BWQ202" s="28"/>
      <c r="BWR202" s="28"/>
      <c r="BWS202" s="28"/>
      <c r="BWT202" s="28"/>
      <c r="BWU202" s="28"/>
      <c r="BWV202" s="28"/>
      <c r="BWW202" s="28"/>
      <c r="BWX202" s="28"/>
      <c r="BWY202" s="28"/>
      <c r="BWZ202" s="28"/>
      <c r="BXA202" s="28"/>
      <c r="BXB202" s="28"/>
      <c r="BXC202" s="28"/>
      <c r="BXD202" s="28"/>
      <c r="BXE202" s="28"/>
      <c r="BXF202" s="28"/>
      <c r="BXG202" s="28"/>
      <c r="BXH202" s="28"/>
      <c r="BXI202" s="28"/>
      <c r="BXJ202" s="28"/>
      <c r="BXK202" s="28"/>
      <c r="BXL202" s="28"/>
      <c r="BXM202" s="28"/>
      <c r="BXN202" s="28"/>
      <c r="BXO202" s="28"/>
      <c r="BXP202" s="28"/>
      <c r="BXQ202" s="28"/>
      <c r="BXR202" s="28"/>
      <c r="BXS202" s="28"/>
      <c r="BXT202" s="28"/>
      <c r="BXU202" s="28"/>
      <c r="BXV202" s="28"/>
      <c r="BXW202" s="28"/>
      <c r="BXX202" s="28"/>
      <c r="BXY202" s="28"/>
      <c r="BXZ202" s="28"/>
      <c r="BYA202" s="28"/>
      <c r="BYB202" s="28"/>
      <c r="BYC202" s="28"/>
      <c r="BYD202" s="28"/>
      <c r="BYE202" s="28"/>
      <c r="BYF202" s="28"/>
      <c r="BYG202" s="28"/>
      <c r="BYH202" s="28"/>
      <c r="BYI202" s="28"/>
      <c r="BYJ202" s="28"/>
      <c r="BYK202" s="28"/>
      <c r="BYL202" s="28"/>
      <c r="BYM202" s="28"/>
      <c r="BYN202" s="28"/>
      <c r="BYO202" s="28"/>
      <c r="BYP202" s="28"/>
      <c r="BYQ202" s="28"/>
      <c r="BYR202" s="28"/>
      <c r="BYS202" s="28"/>
      <c r="BYT202" s="28"/>
      <c r="BYU202" s="28"/>
      <c r="BYV202" s="28"/>
      <c r="BYW202" s="28"/>
      <c r="BYX202" s="28"/>
      <c r="BYY202" s="28"/>
      <c r="BYZ202" s="28"/>
      <c r="BZA202" s="28"/>
      <c r="BZB202" s="28"/>
      <c r="BZC202" s="28"/>
      <c r="BZD202" s="28"/>
      <c r="BZE202" s="28"/>
      <c r="BZF202" s="28"/>
      <c r="BZG202" s="28"/>
      <c r="BZH202" s="28"/>
      <c r="BZI202" s="28"/>
      <c r="BZJ202" s="28"/>
      <c r="BZK202" s="28"/>
      <c r="BZL202" s="28"/>
      <c r="BZM202" s="28"/>
      <c r="BZN202" s="28"/>
      <c r="BZO202" s="28"/>
      <c r="BZP202" s="28"/>
      <c r="BZQ202" s="28"/>
      <c r="BZR202" s="28"/>
      <c r="BZS202" s="28"/>
      <c r="BZT202" s="28"/>
      <c r="BZU202" s="28"/>
      <c r="BZV202" s="28"/>
      <c r="BZW202" s="28"/>
      <c r="BZX202" s="28"/>
      <c r="BZY202" s="28"/>
      <c r="BZZ202" s="28"/>
      <c r="CAA202" s="28"/>
      <c r="CAB202" s="28"/>
      <c r="CAC202" s="28"/>
      <c r="CAD202" s="28"/>
      <c r="CAE202" s="28"/>
      <c r="CAF202" s="28"/>
      <c r="CAG202" s="28"/>
      <c r="CAH202" s="28"/>
      <c r="CAI202" s="28"/>
      <c r="CAJ202" s="28"/>
      <c r="CAK202" s="28"/>
      <c r="CAL202" s="28"/>
      <c r="CAM202" s="28"/>
      <c r="CAN202" s="28"/>
      <c r="CAO202" s="28"/>
      <c r="CAP202" s="28"/>
      <c r="CAQ202" s="28"/>
      <c r="CAR202" s="28"/>
      <c r="CAS202" s="28"/>
      <c r="CAT202" s="28"/>
      <c r="CAU202" s="28"/>
      <c r="CAV202" s="28"/>
      <c r="CAW202" s="28"/>
      <c r="CAX202" s="28"/>
      <c r="CAY202" s="28"/>
      <c r="CAZ202" s="28"/>
      <c r="CBA202" s="28"/>
      <c r="CBB202" s="28"/>
      <c r="CBC202" s="28"/>
      <c r="CBD202" s="28"/>
      <c r="CBE202" s="28"/>
      <c r="CBF202" s="28"/>
      <c r="CBG202" s="28"/>
      <c r="CBH202" s="28"/>
      <c r="CBI202" s="28"/>
      <c r="CBJ202" s="28"/>
      <c r="CBK202" s="28"/>
      <c r="CBL202" s="28"/>
      <c r="CBM202" s="28"/>
      <c r="CBN202" s="28"/>
      <c r="CBO202" s="28"/>
      <c r="CBP202" s="28"/>
      <c r="CBQ202" s="28"/>
      <c r="CBR202" s="28"/>
      <c r="CBS202" s="28"/>
      <c r="CBT202" s="28"/>
      <c r="CBU202" s="28"/>
      <c r="CBV202" s="28"/>
      <c r="CBW202" s="28"/>
      <c r="CBX202" s="28"/>
      <c r="CBY202" s="28"/>
      <c r="CBZ202" s="28"/>
      <c r="CCA202" s="28"/>
      <c r="CCB202" s="28"/>
      <c r="CCC202" s="28"/>
      <c r="CCD202" s="28"/>
      <c r="CCE202" s="28"/>
      <c r="CCF202" s="28"/>
      <c r="CCG202" s="28"/>
      <c r="CCH202" s="28"/>
      <c r="CCI202" s="28"/>
      <c r="CCJ202" s="28"/>
      <c r="CCK202" s="28"/>
      <c r="CCL202" s="28"/>
      <c r="CCM202" s="28"/>
      <c r="CCN202" s="28"/>
      <c r="CCO202" s="28"/>
      <c r="CCP202" s="28"/>
      <c r="CCQ202" s="28"/>
      <c r="CCR202" s="28"/>
      <c r="CCS202" s="28"/>
      <c r="CCT202" s="28"/>
      <c r="CCU202" s="28"/>
      <c r="CCV202" s="28"/>
      <c r="CCW202" s="28"/>
      <c r="CCX202" s="28"/>
      <c r="CCY202" s="28"/>
      <c r="CCZ202" s="28"/>
      <c r="CDA202" s="28"/>
      <c r="CDB202" s="28"/>
      <c r="CDC202" s="28"/>
      <c r="CDD202" s="28"/>
      <c r="CDE202" s="28"/>
      <c r="CDF202" s="28"/>
      <c r="CDG202" s="28"/>
      <c r="CDH202" s="28"/>
      <c r="CDI202" s="28"/>
      <c r="CDJ202" s="28"/>
      <c r="CDK202" s="28"/>
      <c r="CDL202" s="28"/>
      <c r="CDM202" s="28"/>
      <c r="CDN202" s="28"/>
      <c r="CDO202" s="28"/>
      <c r="CDP202" s="28"/>
      <c r="CDQ202" s="28"/>
      <c r="CDR202" s="28"/>
      <c r="CDS202" s="28"/>
      <c r="CDT202" s="28"/>
      <c r="CDU202" s="28"/>
      <c r="CDV202" s="28"/>
      <c r="CDW202" s="28"/>
      <c r="CDX202" s="28"/>
      <c r="CDY202" s="28"/>
      <c r="CDZ202" s="28"/>
      <c r="CEA202" s="28"/>
      <c r="CEB202" s="28"/>
      <c r="CEC202" s="28"/>
      <c r="CED202" s="28"/>
      <c r="CEE202" s="28"/>
      <c r="CEF202" s="28"/>
      <c r="CEG202" s="28"/>
      <c r="CEH202" s="28"/>
      <c r="CEI202" s="28"/>
      <c r="CEJ202" s="28"/>
      <c r="CEK202" s="28"/>
      <c r="CEL202" s="28"/>
      <c r="CEM202" s="28"/>
      <c r="CEN202" s="28"/>
      <c r="CEO202" s="28"/>
      <c r="CEP202" s="28"/>
      <c r="CEQ202" s="28"/>
      <c r="CER202" s="28"/>
      <c r="CES202" s="28"/>
      <c r="CET202" s="28"/>
      <c r="CEU202" s="28"/>
      <c r="CEV202" s="28"/>
      <c r="CEW202" s="28"/>
      <c r="CEX202" s="28"/>
      <c r="CEY202" s="28"/>
      <c r="CEZ202" s="28"/>
      <c r="CFA202" s="28"/>
      <c r="CFB202" s="28"/>
      <c r="CFC202" s="28"/>
      <c r="CFD202" s="28"/>
      <c r="CFE202" s="28"/>
      <c r="CFF202" s="28"/>
      <c r="CFG202" s="28"/>
      <c r="CFH202" s="28"/>
      <c r="CFI202" s="28"/>
      <c r="CFJ202" s="28"/>
      <c r="CFK202" s="28"/>
      <c r="CFL202" s="28"/>
      <c r="CFM202" s="28"/>
      <c r="CFN202" s="28"/>
      <c r="CFO202" s="28"/>
      <c r="CFP202" s="28"/>
      <c r="CFQ202" s="28"/>
      <c r="CFR202" s="28"/>
      <c r="CFS202" s="28"/>
      <c r="CFT202" s="28"/>
      <c r="CFU202" s="28"/>
      <c r="CFV202" s="28"/>
      <c r="CFW202" s="28"/>
      <c r="CFX202" s="28"/>
      <c r="CFY202" s="28"/>
      <c r="CFZ202" s="28"/>
      <c r="CGA202" s="28"/>
      <c r="CGB202" s="28"/>
      <c r="CGC202" s="28"/>
      <c r="CGD202" s="28"/>
      <c r="CGE202" s="28"/>
      <c r="CGF202" s="28"/>
      <c r="CGG202" s="28"/>
      <c r="CGH202" s="28"/>
      <c r="CGI202" s="28"/>
      <c r="CGJ202" s="28"/>
      <c r="CGK202" s="28"/>
      <c r="CGL202" s="28"/>
      <c r="CGM202" s="28"/>
      <c r="CGN202" s="28"/>
      <c r="CGO202" s="28"/>
      <c r="CGP202" s="28"/>
      <c r="CGQ202" s="28"/>
      <c r="CGR202" s="28"/>
      <c r="CGS202" s="28"/>
      <c r="CGT202" s="28"/>
      <c r="CGU202" s="28"/>
      <c r="CGV202" s="28"/>
      <c r="CGW202" s="28"/>
      <c r="CGX202" s="28"/>
      <c r="CGY202" s="28"/>
      <c r="CGZ202" s="28"/>
      <c r="CHA202" s="28"/>
      <c r="CHB202" s="28"/>
      <c r="CHC202" s="28"/>
      <c r="CHD202" s="28"/>
      <c r="CHE202" s="28"/>
      <c r="CHF202" s="28"/>
      <c r="CHG202" s="28"/>
      <c r="CHH202" s="28"/>
      <c r="CHI202" s="28"/>
      <c r="CHJ202" s="28"/>
      <c r="CHK202" s="28"/>
      <c r="CHL202" s="28"/>
      <c r="CHM202" s="28"/>
      <c r="CHN202" s="28"/>
      <c r="CHO202" s="28"/>
      <c r="CHP202" s="28"/>
      <c r="CHQ202" s="28"/>
      <c r="CHR202" s="28"/>
      <c r="CHS202" s="28"/>
      <c r="CHT202" s="28"/>
      <c r="CHU202" s="28"/>
      <c r="CHV202" s="28"/>
      <c r="CHW202" s="28"/>
      <c r="CHX202" s="28"/>
      <c r="CHY202" s="28"/>
      <c r="CHZ202" s="28"/>
      <c r="CIA202" s="28"/>
      <c r="CIB202" s="28"/>
      <c r="CIC202" s="28"/>
      <c r="CID202" s="28"/>
      <c r="CIE202" s="28"/>
      <c r="CIF202" s="28"/>
      <c r="CIG202" s="28"/>
      <c r="CIH202" s="28"/>
      <c r="CII202" s="28"/>
      <c r="CIJ202" s="28"/>
      <c r="CIK202" s="28"/>
      <c r="CIL202" s="28"/>
      <c r="CIM202" s="28"/>
      <c r="CIN202" s="28"/>
      <c r="CIO202" s="28"/>
      <c r="CIP202" s="28"/>
      <c r="CIQ202" s="28"/>
      <c r="CIR202" s="28"/>
      <c r="CIS202" s="28"/>
      <c r="CIT202" s="28"/>
      <c r="CIU202" s="28"/>
      <c r="CIV202" s="28"/>
      <c r="CIW202" s="28"/>
      <c r="CIX202" s="28"/>
      <c r="CIY202" s="28"/>
      <c r="CIZ202" s="28"/>
      <c r="CJA202" s="28"/>
      <c r="CJB202" s="28"/>
      <c r="CJC202" s="28"/>
      <c r="CJD202" s="28"/>
      <c r="CJE202" s="28"/>
      <c r="CJF202" s="28"/>
      <c r="CJG202" s="28"/>
      <c r="CJH202" s="28"/>
      <c r="CJI202" s="28"/>
      <c r="CJJ202" s="28"/>
      <c r="CJK202" s="28"/>
      <c r="CJL202" s="28"/>
      <c r="CJM202" s="28"/>
      <c r="CJN202" s="28"/>
      <c r="CJO202" s="28"/>
      <c r="CJP202" s="28"/>
      <c r="CJQ202" s="28"/>
      <c r="CJR202" s="28"/>
      <c r="CJS202" s="28"/>
      <c r="CJT202" s="28"/>
      <c r="CJU202" s="28"/>
      <c r="CJV202" s="28"/>
      <c r="CJW202" s="28"/>
      <c r="CJX202" s="28"/>
      <c r="CJY202" s="28"/>
      <c r="CJZ202" s="28"/>
      <c r="CKA202" s="28"/>
      <c r="CKB202" s="28"/>
      <c r="CKC202" s="28"/>
      <c r="CKD202" s="28"/>
      <c r="CKE202" s="28"/>
      <c r="CKF202" s="28"/>
      <c r="CKG202" s="28"/>
      <c r="CKH202" s="28"/>
      <c r="CKI202" s="28"/>
      <c r="CKJ202" s="28"/>
      <c r="CKK202" s="28"/>
      <c r="CKL202" s="28"/>
      <c r="CKM202" s="28"/>
      <c r="CKN202" s="28"/>
      <c r="CKO202" s="28"/>
      <c r="CKP202" s="28"/>
      <c r="CKQ202" s="28"/>
      <c r="CKR202" s="28"/>
      <c r="CKS202" s="28"/>
      <c r="CKT202" s="28"/>
      <c r="CKU202" s="28"/>
      <c r="CKV202" s="28"/>
      <c r="CKW202" s="28"/>
      <c r="CKX202" s="28"/>
      <c r="CKY202" s="28"/>
      <c r="CKZ202" s="28"/>
      <c r="CLA202" s="28"/>
      <c r="CLB202" s="28"/>
      <c r="CLC202" s="28"/>
      <c r="CLD202" s="28"/>
      <c r="CLE202" s="28"/>
      <c r="CLF202" s="28"/>
      <c r="CLG202" s="28"/>
      <c r="CLH202" s="28"/>
      <c r="CLI202" s="28"/>
      <c r="CLJ202" s="28"/>
      <c r="CLK202" s="28"/>
      <c r="CLL202" s="28"/>
      <c r="CLM202" s="28"/>
      <c r="CLN202" s="28"/>
      <c r="CLO202" s="28"/>
      <c r="CLP202" s="28"/>
      <c r="CLQ202" s="28"/>
      <c r="CLR202" s="28"/>
      <c r="CLS202" s="28"/>
      <c r="CLT202" s="28"/>
      <c r="CLU202" s="28"/>
      <c r="CLV202" s="28"/>
      <c r="CLW202" s="28"/>
      <c r="CLX202" s="28"/>
      <c r="CLY202" s="28"/>
      <c r="CLZ202" s="28"/>
      <c r="CMA202" s="28"/>
      <c r="CMB202" s="28"/>
      <c r="CMC202" s="28"/>
      <c r="CMD202" s="28"/>
      <c r="CME202" s="28"/>
      <c r="CMF202" s="28"/>
      <c r="CMG202" s="28"/>
      <c r="CMH202" s="28"/>
      <c r="CMI202" s="28"/>
      <c r="CMJ202" s="28"/>
      <c r="CMK202" s="28"/>
      <c r="CML202" s="28"/>
      <c r="CMM202" s="28"/>
      <c r="CMN202" s="28"/>
      <c r="CMO202" s="28"/>
      <c r="CMP202" s="28"/>
      <c r="CMQ202" s="28"/>
      <c r="CMR202" s="28"/>
      <c r="CMS202" s="28"/>
      <c r="CMT202" s="28"/>
      <c r="CMU202" s="28"/>
      <c r="CMV202" s="28"/>
      <c r="CMW202" s="28"/>
      <c r="CMX202" s="28"/>
      <c r="CMY202" s="28"/>
      <c r="CMZ202" s="28"/>
      <c r="CNA202" s="28"/>
      <c r="CNB202" s="28"/>
      <c r="CNC202" s="28"/>
      <c r="CND202" s="28"/>
      <c r="CNE202" s="28"/>
      <c r="CNF202" s="28"/>
      <c r="CNG202" s="28"/>
      <c r="CNH202" s="28"/>
      <c r="CNI202" s="28"/>
      <c r="CNJ202" s="28"/>
      <c r="CNK202" s="28"/>
      <c r="CNL202" s="28"/>
      <c r="CNM202" s="28"/>
      <c r="CNN202" s="28"/>
      <c r="CNO202" s="28"/>
      <c r="CNP202" s="28"/>
      <c r="CNQ202" s="28"/>
      <c r="CNR202" s="28"/>
      <c r="CNS202" s="28"/>
      <c r="CNT202" s="28"/>
      <c r="CNU202" s="28"/>
      <c r="CNV202" s="28"/>
      <c r="CNW202" s="28"/>
      <c r="CNX202" s="28"/>
      <c r="CNY202" s="28"/>
      <c r="CNZ202" s="28"/>
      <c r="COA202" s="28"/>
      <c r="COB202" s="28"/>
      <c r="COC202" s="28"/>
      <c r="COD202" s="28"/>
      <c r="COE202" s="28"/>
      <c r="COF202" s="28"/>
      <c r="COG202" s="28"/>
      <c r="COH202" s="28"/>
      <c r="COI202" s="28"/>
      <c r="COJ202" s="28"/>
      <c r="COK202" s="28"/>
      <c r="COL202" s="28"/>
      <c r="COM202" s="28"/>
      <c r="CON202" s="28"/>
      <c r="COO202" s="28"/>
      <c r="COP202" s="28"/>
      <c r="COQ202" s="28"/>
      <c r="COR202" s="28"/>
      <c r="COS202" s="28"/>
      <c r="COT202" s="28"/>
      <c r="COU202" s="28"/>
      <c r="COV202" s="28"/>
      <c r="COW202" s="28"/>
      <c r="COX202" s="28"/>
      <c r="COY202" s="28"/>
      <c r="COZ202" s="28"/>
      <c r="CPA202" s="28"/>
      <c r="CPB202" s="28"/>
      <c r="CPC202" s="28"/>
      <c r="CPD202" s="28"/>
      <c r="CPE202" s="28"/>
      <c r="CPF202" s="28"/>
      <c r="CPG202" s="28"/>
      <c r="CPH202" s="28"/>
      <c r="CPI202" s="28"/>
      <c r="CPJ202" s="28"/>
      <c r="CPK202" s="28"/>
      <c r="CPL202" s="28"/>
      <c r="CPM202" s="28"/>
      <c r="CPN202" s="28"/>
      <c r="CPO202" s="28"/>
      <c r="CPP202" s="28"/>
      <c r="CPQ202" s="28"/>
      <c r="CPR202" s="28"/>
      <c r="CPS202" s="28"/>
      <c r="CPT202" s="28"/>
      <c r="CPU202" s="28"/>
      <c r="CPV202" s="28"/>
      <c r="CPW202" s="28"/>
      <c r="CPX202" s="28"/>
      <c r="CPY202" s="28"/>
      <c r="CPZ202" s="28"/>
      <c r="CQA202" s="28"/>
      <c r="CQB202" s="28"/>
      <c r="CQC202" s="28"/>
      <c r="CQD202" s="28"/>
      <c r="CQE202" s="28"/>
      <c r="CQF202" s="28"/>
      <c r="CQG202" s="28"/>
      <c r="CQH202" s="28"/>
      <c r="CQI202" s="28"/>
      <c r="CQJ202" s="28"/>
      <c r="CQK202" s="28"/>
      <c r="CQL202" s="28"/>
      <c r="CQM202" s="28"/>
      <c r="CQN202" s="28"/>
      <c r="CQO202" s="28"/>
      <c r="CQP202" s="28"/>
      <c r="CQQ202" s="28"/>
      <c r="CQR202" s="28"/>
      <c r="CQS202" s="28"/>
      <c r="CQT202" s="28"/>
      <c r="CQU202" s="28"/>
      <c r="CQV202" s="28"/>
      <c r="CQW202" s="28"/>
      <c r="CQX202" s="28"/>
      <c r="CQY202" s="28"/>
      <c r="CQZ202" s="28"/>
      <c r="CRA202" s="28"/>
      <c r="CRB202" s="28"/>
      <c r="CRC202" s="28"/>
      <c r="CRD202" s="28"/>
      <c r="CRE202" s="28"/>
      <c r="CRF202" s="28"/>
      <c r="CRG202" s="28"/>
      <c r="CRH202" s="28"/>
      <c r="CRI202" s="28"/>
      <c r="CRJ202" s="28"/>
      <c r="CRK202" s="28"/>
      <c r="CRL202" s="28"/>
      <c r="CRM202" s="28"/>
      <c r="CRN202" s="28"/>
      <c r="CRO202" s="28"/>
      <c r="CRP202" s="28"/>
      <c r="CRQ202" s="28"/>
      <c r="CRR202" s="28"/>
      <c r="CRS202" s="28"/>
      <c r="CRT202" s="28"/>
      <c r="CRU202" s="28"/>
      <c r="CRV202" s="28"/>
      <c r="CRW202" s="28"/>
      <c r="CRX202" s="28"/>
      <c r="CRY202" s="28"/>
      <c r="CRZ202" s="28"/>
      <c r="CSA202" s="28"/>
      <c r="CSB202" s="28"/>
      <c r="CSC202" s="28"/>
      <c r="CSD202" s="28"/>
      <c r="CSE202" s="28"/>
      <c r="CSF202" s="28"/>
      <c r="CSG202" s="28"/>
      <c r="CSH202" s="28"/>
      <c r="CSI202" s="28"/>
      <c r="CSJ202" s="28"/>
      <c r="CSK202" s="28"/>
      <c r="CSL202" s="28"/>
      <c r="CSM202" s="28"/>
      <c r="CSN202" s="28"/>
      <c r="CSO202" s="28"/>
      <c r="CSP202" s="28"/>
      <c r="CSQ202" s="28"/>
      <c r="CSR202" s="28"/>
      <c r="CSS202" s="28"/>
      <c r="CST202" s="28"/>
      <c r="CSU202" s="28"/>
      <c r="CSV202" s="28"/>
      <c r="CSW202" s="28"/>
      <c r="CSX202" s="28"/>
      <c r="CSY202" s="28"/>
      <c r="CSZ202" s="28"/>
      <c r="CTA202" s="28"/>
      <c r="CTB202" s="28"/>
      <c r="CTC202" s="28"/>
      <c r="CTD202" s="28"/>
      <c r="CTE202" s="28"/>
      <c r="CTF202" s="28"/>
      <c r="CTG202" s="28"/>
      <c r="CTH202" s="28"/>
      <c r="CTI202" s="28"/>
      <c r="CTJ202" s="28"/>
      <c r="CTK202" s="28"/>
      <c r="CTL202" s="28"/>
      <c r="CTM202" s="28"/>
      <c r="CTN202" s="28"/>
      <c r="CTO202" s="28"/>
      <c r="CTP202" s="28"/>
      <c r="CTQ202" s="28"/>
      <c r="CTR202" s="28"/>
      <c r="CTS202" s="28"/>
      <c r="CTT202" s="28"/>
      <c r="CTU202" s="28"/>
      <c r="CTV202" s="28"/>
      <c r="CTW202" s="28"/>
      <c r="CTX202" s="28"/>
      <c r="CTY202" s="28"/>
      <c r="CTZ202" s="28"/>
      <c r="CUA202" s="28"/>
      <c r="CUB202" s="28"/>
      <c r="CUC202" s="28"/>
      <c r="CUD202" s="28"/>
      <c r="CUE202" s="28"/>
      <c r="CUF202" s="28"/>
      <c r="CUG202" s="28"/>
      <c r="CUH202" s="28"/>
      <c r="CUI202" s="28"/>
      <c r="CUJ202" s="28"/>
      <c r="CUK202" s="28"/>
      <c r="CUL202" s="28"/>
      <c r="CUM202" s="28"/>
      <c r="CUN202" s="28"/>
      <c r="CUO202" s="28"/>
      <c r="CUP202" s="28"/>
      <c r="CUQ202" s="28"/>
      <c r="CUR202" s="28"/>
      <c r="CUS202" s="28"/>
      <c r="CUT202" s="28"/>
      <c r="CUU202" s="28"/>
      <c r="CUV202" s="28"/>
      <c r="CUW202" s="28"/>
      <c r="CUX202" s="28"/>
      <c r="CUY202" s="28"/>
      <c r="CUZ202" s="28"/>
      <c r="CVA202" s="28"/>
      <c r="CVB202" s="28"/>
      <c r="CVC202" s="28"/>
      <c r="CVD202" s="28"/>
      <c r="CVE202" s="28"/>
      <c r="CVF202" s="28"/>
      <c r="CVG202" s="28"/>
      <c r="CVH202" s="28"/>
      <c r="CVI202" s="28"/>
      <c r="CVJ202" s="28"/>
      <c r="CVK202" s="28"/>
      <c r="CVL202" s="28"/>
      <c r="CVM202" s="28"/>
      <c r="CVN202" s="28"/>
      <c r="CVO202" s="28"/>
      <c r="CVP202" s="28"/>
      <c r="CVQ202" s="28"/>
      <c r="CVR202" s="28"/>
      <c r="CVS202" s="28"/>
      <c r="CVT202" s="28"/>
      <c r="CVU202" s="28"/>
      <c r="CVV202" s="28"/>
      <c r="CVW202" s="28"/>
      <c r="CVX202" s="28"/>
      <c r="CVY202" s="28"/>
      <c r="CVZ202" s="28"/>
      <c r="CWA202" s="28"/>
      <c r="CWB202" s="28"/>
      <c r="CWC202" s="28"/>
      <c r="CWD202" s="28"/>
      <c r="CWE202" s="28"/>
      <c r="CWF202" s="28"/>
      <c r="CWG202" s="28"/>
      <c r="CWH202" s="28"/>
      <c r="CWI202" s="28"/>
      <c r="CWJ202" s="28"/>
      <c r="CWK202" s="28"/>
      <c r="CWL202" s="28"/>
      <c r="CWM202" s="28"/>
      <c r="CWN202" s="28"/>
      <c r="CWO202" s="28"/>
      <c r="CWP202" s="28"/>
      <c r="CWQ202" s="28"/>
      <c r="CWR202" s="28"/>
      <c r="CWS202" s="28"/>
      <c r="CWT202" s="28"/>
      <c r="CWU202" s="28"/>
      <c r="CWV202" s="28"/>
      <c r="CWW202" s="28"/>
      <c r="CWX202" s="28"/>
      <c r="CWY202" s="28"/>
      <c r="CWZ202" s="28"/>
      <c r="CXA202" s="28"/>
      <c r="CXB202" s="28"/>
      <c r="CXC202" s="28"/>
      <c r="CXD202" s="28"/>
      <c r="CXE202" s="28"/>
      <c r="CXF202" s="28"/>
      <c r="CXG202" s="28"/>
      <c r="CXH202" s="28"/>
      <c r="CXI202" s="28"/>
      <c r="CXJ202" s="28"/>
      <c r="CXK202" s="28"/>
      <c r="CXL202" s="28"/>
      <c r="CXM202" s="28"/>
      <c r="CXN202" s="28"/>
      <c r="CXO202" s="28"/>
      <c r="CXP202" s="28"/>
      <c r="CXQ202" s="28"/>
      <c r="CXR202" s="28"/>
      <c r="CXS202" s="28"/>
      <c r="CXT202" s="28"/>
      <c r="CXU202" s="28"/>
      <c r="CXV202" s="28"/>
      <c r="CXW202" s="28"/>
      <c r="CXX202" s="28"/>
      <c r="CXY202" s="28"/>
      <c r="CXZ202" s="28"/>
      <c r="CYA202" s="28"/>
      <c r="CYB202" s="28"/>
      <c r="CYC202" s="28"/>
      <c r="CYD202" s="28"/>
      <c r="CYE202" s="28"/>
      <c r="CYF202" s="28"/>
      <c r="CYG202" s="28"/>
      <c r="CYH202" s="28"/>
      <c r="CYI202" s="28"/>
      <c r="CYJ202" s="28"/>
      <c r="CYK202" s="28"/>
      <c r="CYL202" s="28"/>
      <c r="CYM202" s="28"/>
      <c r="CYN202" s="28"/>
      <c r="CYO202" s="28"/>
      <c r="CYP202" s="28"/>
      <c r="CYQ202" s="28"/>
      <c r="CYR202" s="28"/>
      <c r="CYS202" s="28"/>
      <c r="CYT202" s="28"/>
      <c r="CYU202" s="28"/>
      <c r="CYV202" s="28"/>
      <c r="CYW202" s="28"/>
      <c r="CYX202" s="28"/>
      <c r="CYY202" s="28"/>
      <c r="CYZ202" s="28"/>
      <c r="CZA202" s="28"/>
      <c r="CZB202" s="28"/>
      <c r="CZC202" s="28"/>
      <c r="CZD202" s="28"/>
      <c r="CZE202" s="28"/>
      <c r="CZF202" s="28"/>
      <c r="CZG202" s="28"/>
      <c r="CZH202" s="28"/>
      <c r="CZI202" s="28"/>
      <c r="CZJ202" s="28"/>
      <c r="CZK202" s="28"/>
      <c r="CZL202" s="28"/>
      <c r="CZM202" s="28"/>
      <c r="CZN202" s="28"/>
      <c r="CZO202" s="28"/>
      <c r="CZP202" s="28"/>
      <c r="CZQ202" s="28"/>
      <c r="CZR202" s="28"/>
      <c r="CZS202" s="28"/>
      <c r="CZT202" s="28"/>
      <c r="CZU202" s="28"/>
      <c r="CZV202" s="28"/>
      <c r="CZW202" s="28"/>
      <c r="CZX202" s="28"/>
      <c r="CZY202" s="28"/>
      <c r="CZZ202" s="28"/>
      <c r="DAA202" s="28"/>
      <c r="DAB202" s="28"/>
      <c r="DAC202" s="28"/>
      <c r="DAD202" s="28"/>
      <c r="DAE202" s="28"/>
      <c r="DAF202" s="28"/>
      <c r="DAG202" s="28"/>
      <c r="DAH202" s="28"/>
      <c r="DAI202" s="28"/>
      <c r="DAJ202" s="28"/>
      <c r="DAK202" s="28"/>
      <c r="DAL202" s="28"/>
      <c r="DAM202" s="28"/>
      <c r="DAN202" s="28"/>
      <c r="DAO202" s="28"/>
      <c r="DAP202" s="28"/>
      <c r="DAQ202" s="28"/>
      <c r="DAR202" s="28"/>
      <c r="DAS202" s="28"/>
      <c r="DAT202" s="28"/>
      <c r="DAU202" s="28"/>
      <c r="DAV202" s="28"/>
      <c r="DAW202" s="28"/>
      <c r="DAX202" s="28"/>
      <c r="DAY202" s="28"/>
      <c r="DAZ202" s="28"/>
      <c r="DBA202" s="28"/>
      <c r="DBB202" s="28"/>
      <c r="DBC202" s="28"/>
      <c r="DBD202" s="28"/>
      <c r="DBE202" s="28"/>
      <c r="DBF202" s="28"/>
      <c r="DBG202" s="28"/>
      <c r="DBH202" s="28"/>
      <c r="DBI202" s="28"/>
      <c r="DBJ202" s="28"/>
      <c r="DBK202" s="28"/>
      <c r="DBL202" s="28"/>
      <c r="DBM202" s="28"/>
      <c r="DBN202" s="28"/>
      <c r="DBO202" s="28"/>
      <c r="DBP202" s="28"/>
      <c r="DBQ202" s="28"/>
      <c r="DBR202" s="28"/>
      <c r="DBS202" s="28"/>
      <c r="DBT202" s="28"/>
      <c r="DBU202" s="28"/>
      <c r="DBV202" s="28"/>
      <c r="DBW202" s="28"/>
      <c r="DBX202" s="28"/>
      <c r="DBY202" s="28"/>
      <c r="DBZ202" s="28"/>
      <c r="DCA202" s="28"/>
      <c r="DCB202" s="28"/>
      <c r="DCC202" s="28"/>
      <c r="DCD202" s="28"/>
      <c r="DCE202" s="28"/>
      <c r="DCF202" s="28"/>
      <c r="DCG202" s="28"/>
      <c r="DCH202" s="28"/>
      <c r="DCI202" s="28"/>
      <c r="DCJ202" s="28"/>
      <c r="DCK202" s="28"/>
      <c r="DCL202" s="28"/>
      <c r="DCM202" s="28"/>
      <c r="DCN202" s="28"/>
      <c r="DCO202" s="28"/>
      <c r="DCP202" s="28"/>
      <c r="DCQ202" s="28"/>
      <c r="DCR202" s="28"/>
      <c r="DCS202" s="28"/>
      <c r="DCT202" s="28"/>
      <c r="DCU202" s="28"/>
      <c r="DCV202" s="28"/>
      <c r="DCW202" s="28"/>
      <c r="DCX202" s="28"/>
      <c r="DCY202" s="28"/>
      <c r="DCZ202" s="28"/>
      <c r="DDA202" s="28"/>
      <c r="DDB202" s="28"/>
      <c r="DDC202" s="28"/>
      <c r="DDD202" s="28"/>
      <c r="DDE202" s="28"/>
      <c r="DDF202" s="28"/>
      <c r="DDG202" s="28"/>
      <c r="DDH202" s="28"/>
      <c r="DDI202" s="28"/>
      <c r="DDJ202" s="28"/>
      <c r="DDK202" s="28"/>
      <c r="DDL202" s="28"/>
      <c r="DDM202" s="28"/>
      <c r="DDN202" s="28"/>
      <c r="DDO202" s="28"/>
      <c r="DDP202" s="28"/>
      <c r="DDQ202" s="28"/>
      <c r="DDR202" s="28"/>
      <c r="DDS202" s="28"/>
      <c r="DDT202" s="28"/>
      <c r="DDU202" s="28"/>
      <c r="DDV202" s="28"/>
      <c r="DDW202" s="28"/>
      <c r="DDX202" s="28"/>
      <c r="DDY202" s="28"/>
      <c r="DDZ202" s="28"/>
      <c r="DEA202" s="28"/>
      <c r="DEB202" s="28"/>
      <c r="DEC202" s="28"/>
      <c r="DED202" s="28"/>
      <c r="DEE202" s="28"/>
      <c r="DEF202" s="28"/>
      <c r="DEG202" s="28"/>
      <c r="DEH202" s="28"/>
      <c r="DEI202" s="28"/>
      <c r="DEJ202" s="28"/>
      <c r="DEK202" s="28"/>
      <c r="DEL202" s="28"/>
      <c r="DEM202" s="28"/>
      <c r="DEN202" s="28"/>
      <c r="DEO202" s="28"/>
      <c r="DEP202" s="28"/>
      <c r="DEQ202" s="28"/>
      <c r="DER202" s="28"/>
      <c r="DES202" s="28"/>
      <c r="DET202" s="28"/>
      <c r="DEU202" s="28"/>
      <c r="DEV202" s="28"/>
      <c r="DEW202" s="28"/>
      <c r="DEX202" s="28"/>
      <c r="DEY202" s="28"/>
      <c r="DEZ202" s="28"/>
      <c r="DFA202" s="28"/>
      <c r="DFB202" s="28"/>
      <c r="DFC202" s="28"/>
      <c r="DFD202" s="28"/>
      <c r="DFE202" s="28"/>
      <c r="DFF202" s="28"/>
      <c r="DFG202" s="28"/>
      <c r="DFH202" s="28"/>
      <c r="DFI202" s="28"/>
      <c r="DFJ202" s="28"/>
      <c r="DFK202" s="28"/>
      <c r="DFL202" s="28"/>
      <c r="DFM202" s="28"/>
      <c r="DFN202" s="28"/>
      <c r="DFO202" s="28"/>
      <c r="DFP202" s="28"/>
      <c r="DFQ202" s="28"/>
      <c r="DFR202" s="28"/>
      <c r="DFS202" s="28"/>
      <c r="DFT202" s="28"/>
      <c r="DFU202" s="28"/>
      <c r="DFV202" s="28"/>
      <c r="DFW202" s="28"/>
      <c r="DFX202" s="28"/>
      <c r="DFY202" s="28"/>
      <c r="DFZ202" s="28"/>
      <c r="DGA202" s="28"/>
      <c r="DGB202" s="28"/>
      <c r="DGC202" s="28"/>
      <c r="DGD202" s="28"/>
      <c r="DGE202" s="28"/>
      <c r="DGF202" s="28"/>
      <c r="DGG202" s="28"/>
      <c r="DGH202" s="28"/>
      <c r="DGI202" s="28"/>
      <c r="DGJ202" s="28"/>
      <c r="DGK202" s="28"/>
      <c r="DGL202" s="28"/>
      <c r="DGM202" s="28"/>
      <c r="DGN202" s="28"/>
      <c r="DGO202" s="28"/>
      <c r="DGP202" s="28"/>
      <c r="DGQ202" s="28"/>
      <c r="DGR202" s="28"/>
      <c r="DGS202" s="28"/>
      <c r="DGT202" s="28"/>
      <c r="DGU202" s="28"/>
      <c r="DGV202" s="28"/>
      <c r="DGW202" s="28"/>
      <c r="DGX202" s="28"/>
      <c r="DGY202" s="28"/>
      <c r="DGZ202" s="28"/>
      <c r="DHA202" s="28"/>
      <c r="DHB202" s="28"/>
      <c r="DHC202" s="28"/>
      <c r="DHD202" s="28"/>
      <c r="DHE202" s="28"/>
      <c r="DHF202" s="28"/>
      <c r="DHG202" s="28"/>
      <c r="DHH202" s="28"/>
      <c r="DHI202" s="28"/>
      <c r="DHJ202" s="28"/>
      <c r="DHK202" s="28"/>
      <c r="DHL202" s="28"/>
      <c r="DHM202" s="28"/>
      <c r="DHN202" s="28"/>
      <c r="DHO202" s="28"/>
      <c r="DHP202" s="28"/>
      <c r="DHQ202" s="28"/>
      <c r="DHR202" s="28"/>
      <c r="DHS202" s="28"/>
      <c r="DHT202" s="28"/>
      <c r="DHU202" s="28"/>
      <c r="DHV202" s="28"/>
      <c r="DHW202" s="28"/>
      <c r="DHX202" s="28"/>
      <c r="DHY202" s="28"/>
      <c r="DHZ202" s="28"/>
      <c r="DIA202" s="28"/>
      <c r="DIB202" s="28"/>
      <c r="DIC202" s="28"/>
      <c r="DID202" s="28"/>
      <c r="DIE202" s="28"/>
      <c r="DIF202" s="28"/>
      <c r="DIG202" s="28"/>
      <c r="DIH202" s="28"/>
      <c r="DII202" s="28"/>
      <c r="DIJ202" s="28"/>
      <c r="DIK202" s="28"/>
      <c r="DIL202" s="28"/>
      <c r="DIM202" s="28"/>
      <c r="DIN202" s="28"/>
      <c r="DIO202" s="28"/>
      <c r="DIP202" s="28"/>
      <c r="DIQ202" s="28"/>
      <c r="DIR202" s="28"/>
      <c r="DIS202" s="28"/>
      <c r="DIT202" s="28"/>
      <c r="DIU202" s="28"/>
      <c r="DIV202" s="28"/>
      <c r="DIW202" s="28"/>
      <c r="DIX202" s="28"/>
      <c r="DIY202" s="28"/>
      <c r="DIZ202" s="28"/>
      <c r="DJA202" s="28"/>
      <c r="DJB202" s="28"/>
      <c r="DJC202" s="28"/>
      <c r="DJD202" s="28"/>
      <c r="DJE202" s="28"/>
      <c r="DJF202" s="28"/>
      <c r="DJG202" s="28"/>
      <c r="DJH202" s="28"/>
      <c r="DJI202" s="28"/>
      <c r="DJJ202" s="28"/>
      <c r="DJK202" s="28"/>
      <c r="DJL202" s="28"/>
      <c r="DJM202" s="28"/>
      <c r="DJN202" s="28"/>
      <c r="DJO202" s="28"/>
      <c r="DJP202" s="28"/>
      <c r="DJQ202" s="28"/>
      <c r="DJR202" s="28"/>
      <c r="DJS202" s="28"/>
      <c r="DJT202" s="28"/>
      <c r="DJU202" s="28"/>
      <c r="DJV202" s="28"/>
      <c r="DJW202" s="28"/>
      <c r="DJX202" s="28"/>
      <c r="DJY202" s="28"/>
      <c r="DJZ202" s="28"/>
      <c r="DKA202" s="28"/>
      <c r="DKB202" s="28"/>
      <c r="DKC202" s="28"/>
      <c r="DKD202" s="28"/>
      <c r="DKE202" s="28"/>
      <c r="DKF202" s="28"/>
      <c r="DKG202" s="28"/>
      <c r="DKH202" s="28"/>
      <c r="DKI202" s="28"/>
      <c r="DKJ202" s="28"/>
      <c r="DKK202" s="28"/>
      <c r="DKL202" s="28"/>
      <c r="DKM202" s="28"/>
      <c r="DKN202" s="28"/>
      <c r="DKO202" s="28"/>
      <c r="DKP202" s="28"/>
      <c r="DKQ202" s="28"/>
      <c r="DKR202" s="28"/>
      <c r="DKS202" s="28"/>
      <c r="DKT202" s="28"/>
      <c r="DKU202" s="28"/>
      <c r="DKV202" s="28"/>
      <c r="DKW202" s="28"/>
      <c r="DKX202" s="28"/>
      <c r="DKY202" s="28"/>
      <c r="DKZ202" s="28"/>
      <c r="DLA202" s="28"/>
      <c r="DLB202" s="28"/>
      <c r="DLC202" s="28"/>
      <c r="DLD202" s="28"/>
      <c r="DLE202" s="28"/>
      <c r="DLF202" s="28"/>
      <c r="DLG202" s="28"/>
      <c r="DLH202" s="28"/>
      <c r="DLI202" s="28"/>
      <c r="DLJ202" s="28"/>
      <c r="DLK202" s="28"/>
      <c r="DLL202" s="28"/>
      <c r="DLM202" s="28"/>
      <c r="DLN202" s="28"/>
      <c r="DLO202" s="28"/>
      <c r="DLP202" s="28"/>
      <c r="DLQ202" s="28"/>
      <c r="DLR202" s="28"/>
      <c r="DLS202" s="28"/>
      <c r="DLT202" s="28"/>
      <c r="DLU202" s="28"/>
      <c r="DLV202" s="28"/>
      <c r="DLW202" s="28"/>
      <c r="DLX202" s="28"/>
      <c r="DLY202" s="28"/>
      <c r="DLZ202" s="28"/>
      <c r="DMA202" s="28"/>
      <c r="DMB202" s="28"/>
      <c r="DMC202" s="28"/>
      <c r="DMD202" s="28"/>
      <c r="DME202" s="28"/>
      <c r="DMF202" s="28"/>
      <c r="DMG202" s="28"/>
      <c r="DMH202" s="28"/>
      <c r="DMI202" s="28"/>
      <c r="DMJ202" s="28"/>
      <c r="DMK202" s="28"/>
      <c r="DML202" s="28"/>
      <c r="DMM202" s="28"/>
      <c r="DMN202" s="28"/>
      <c r="DMO202" s="28"/>
      <c r="DMP202" s="28"/>
      <c r="DMQ202" s="28"/>
      <c r="DMR202" s="28"/>
      <c r="DMS202" s="28"/>
      <c r="DMT202" s="28"/>
      <c r="DMU202" s="28"/>
      <c r="DMV202" s="28"/>
      <c r="DMW202" s="28"/>
      <c r="DMX202" s="28"/>
      <c r="DMY202" s="28"/>
      <c r="DMZ202" s="28"/>
      <c r="DNA202" s="28"/>
      <c r="DNB202" s="28"/>
      <c r="DNC202" s="28"/>
      <c r="DND202" s="28"/>
      <c r="DNE202" s="28"/>
      <c r="DNF202" s="28"/>
      <c r="DNG202" s="28"/>
      <c r="DNH202" s="28"/>
      <c r="DNI202" s="28"/>
      <c r="DNJ202" s="28"/>
      <c r="DNK202" s="28"/>
      <c r="DNL202" s="28"/>
      <c r="DNM202" s="28"/>
      <c r="DNN202" s="28"/>
      <c r="DNO202" s="28"/>
      <c r="DNP202" s="28"/>
      <c r="DNQ202" s="28"/>
      <c r="DNR202" s="28"/>
      <c r="DNS202" s="28"/>
      <c r="DNT202" s="28"/>
      <c r="DNU202" s="28"/>
      <c r="DNV202" s="28"/>
      <c r="DNW202" s="28"/>
      <c r="DNX202" s="28"/>
      <c r="DNY202" s="28"/>
      <c r="DNZ202" s="28"/>
      <c r="DOA202" s="28"/>
      <c r="DOB202" s="28"/>
      <c r="DOC202" s="28"/>
      <c r="DOD202" s="28"/>
      <c r="DOE202" s="28"/>
      <c r="DOF202" s="28"/>
      <c r="DOG202" s="28"/>
      <c r="DOH202" s="28"/>
      <c r="DOI202" s="28"/>
      <c r="DOJ202" s="28"/>
      <c r="DOK202" s="28"/>
      <c r="DOL202" s="28"/>
      <c r="DOM202" s="28"/>
      <c r="DON202" s="28"/>
      <c r="DOO202" s="28"/>
      <c r="DOP202" s="28"/>
      <c r="DOQ202" s="28"/>
      <c r="DOR202" s="28"/>
      <c r="DOS202" s="28"/>
      <c r="DOT202" s="28"/>
      <c r="DOU202" s="28"/>
      <c r="DOV202" s="28"/>
      <c r="DOW202" s="28"/>
      <c r="DOX202" s="28"/>
      <c r="DOY202" s="28"/>
      <c r="DOZ202" s="28"/>
      <c r="DPA202" s="28"/>
      <c r="DPB202" s="28"/>
      <c r="DPC202" s="28"/>
      <c r="DPD202" s="28"/>
      <c r="DPE202" s="28"/>
      <c r="DPF202" s="28"/>
      <c r="DPG202" s="28"/>
      <c r="DPH202" s="28"/>
      <c r="DPI202" s="28"/>
      <c r="DPJ202" s="28"/>
      <c r="DPK202" s="28"/>
      <c r="DPL202" s="28"/>
      <c r="DPM202" s="28"/>
      <c r="DPN202" s="28"/>
      <c r="DPO202" s="28"/>
      <c r="DPP202" s="28"/>
      <c r="DPQ202" s="28"/>
      <c r="DPR202" s="28"/>
      <c r="DPS202" s="28"/>
      <c r="DPT202" s="28"/>
      <c r="DPU202" s="28"/>
      <c r="DPV202" s="28"/>
      <c r="DPW202" s="28"/>
      <c r="DPX202" s="28"/>
      <c r="DPY202" s="28"/>
      <c r="DPZ202" s="28"/>
      <c r="DQA202" s="28"/>
      <c r="DQB202" s="28"/>
      <c r="DQC202" s="28"/>
      <c r="DQD202" s="28"/>
      <c r="DQE202" s="28"/>
      <c r="DQF202" s="28"/>
      <c r="DQG202" s="28"/>
      <c r="DQH202" s="28"/>
      <c r="DQI202" s="28"/>
      <c r="DQJ202" s="28"/>
      <c r="DQK202" s="28"/>
      <c r="DQL202" s="28"/>
      <c r="DQM202" s="28"/>
      <c r="DQN202" s="28"/>
      <c r="DQO202" s="28"/>
      <c r="DQP202" s="28"/>
      <c r="DQQ202" s="28"/>
      <c r="DQR202" s="28"/>
      <c r="DQS202" s="28"/>
      <c r="DQT202" s="28"/>
      <c r="DQU202" s="28"/>
      <c r="DQV202" s="28"/>
      <c r="DQW202" s="28"/>
      <c r="DQX202" s="28"/>
      <c r="DQY202" s="28"/>
      <c r="DQZ202" s="28"/>
      <c r="DRA202" s="28"/>
      <c r="DRB202" s="28"/>
      <c r="DRC202" s="28"/>
      <c r="DRD202" s="28"/>
      <c r="DRE202" s="28"/>
      <c r="DRF202" s="28"/>
      <c r="DRG202" s="28"/>
      <c r="DRH202" s="28"/>
      <c r="DRI202" s="28"/>
      <c r="DRJ202" s="28"/>
      <c r="DRK202" s="28"/>
      <c r="DRL202" s="28"/>
      <c r="DRM202" s="28"/>
      <c r="DRN202" s="28"/>
      <c r="DRO202" s="28"/>
      <c r="DRP202" s="28"/>
      <c r="DRQ202" s="28"/>
      <c r="DRR202" s="28"/>
      <c r="DRS202" s="28"/>
      <c r="DRT202" s="28"/>
      <c r="DRU202" s="28"/>
      <c r="DRV202" s="28"/>
      <c r="DRW202" s="28"/>
      <c r="DRX202" s="28"/>
      <c r="DRY202" s="28"/>
      <c r="DRZ202" s="28"/>
      <c r="DSA202" s="28"/>
      <c r="DSB202" s="28"/>
      <c r="DSC202" s="28"/>
      <c r="DSD202" s="28"/>
      <c r="DSE202" s="28"/>
      <c r="DSF202" s="28"/>
      <c r="DSG202" s="28"/>
      <c r="DSH202" s="28"/>
      <c r="DSI202" s="28"/>
      <c r="DSJ202" s="28"/>
      <c r="DSK202" s="28"/>
      <c r="DSL202" s="28"/>
      <c r="DSM202" s="28"/>
      <c r="DSN202" s="28"/>
      <c r="DSO202" s="28"/>
      <c r="DSP202" s="28"/>
      <c r="DSQ202" s="28"/>
      <c r="DSR202" s="28"/>
      <c r="DSS202" s="28"/>
      <c r="DST202" s="28"/>
      <c r="DSU202" s="28"/>
      <c r="DSV202" s="28"/>
      <c r="DSW202" s="28"/>
      <c r="DSX202" s="28"/>
      <c r="DSY202" s="28"/>
      <c r="DSZ202" s="28"/>
      <c r="DTA202" s="28"/>
      <c r="DTB202" s="28"/>
      <c r="DTC202" s="28"/>
      <c r="DTD202" s="28"/>
      <c r="DTE202" s="28"/>
      <c r="DTF202" s="28"/>
      <c r="DTG202" s="28"/>
      <c r="DTH202" s="28"/>
      <c r="DTI202" s="28"/>
      <c r="DTJ202" s="28"/>
      <c r="DTK202" s="28"/>
      <c r="DTL202" s="28"/>
      <c r="DTM202" s="28"/>
      <c r="DTN202" s="28"/>
      <c r="DTO202" s="28"/>
      <c r="DTP202" s="28"/>
      <c r="DTQ202" s="28"/>
      <c r="DTR202" s="28"/>
      <c r="DTS202" s="28"/>
      <c r="DTT202" s="28"/>
      <c r="DTU202" s="28"/>
      <c r="DTV202" s="28"/>
      <c r="DTW202" s="28"/>
      <c r="DTX202" s="28"/>
      <c r="DTY202" s="28"/>
      <c r="DTZ202" s="28"/>
      <c r="DUA202" s="28"/>
      <c r="DUB202" s="28"/>
      <c r="DUC202" s="28"/>
      <c r="DUD202" s="28"/>
      <c r="DUE202" s="28"/>
      <c r="DUF202" s="28"/>
      <c r="DUG202" s="28"/>
      <c r="DUH202" s="28"/>
      <c r="DUI202" s="28"/>
      <c r="DUJ202" s="28"/>
      <c r="DUK202" s="28"/>
      <c r="DUL202" s="28"/>
      <c r="DUM202" s="28"/>
      <c r="DUN202" s="28"/>
      <c r="DUO202" s="28"/>
      <c r="DUP202" s="28"/>
      <c r="DUQ202" s="28"/>
      <c r="DUR202" s="28"/>
      <c r="DUS202" s="28"/>
      <c r="DUT202" s="28"/>
      <c r="DUU202" s="28"/>
      <c r="DUV202" s="28"/>
      <c r="DUW202" s="28"/>
      <c r="DUX202" s="28"/>
      <c r="DUY202" s="28"/>
      <c r="DUZ202" s="28"/>
      <c r="DVA202" s="28"/>
      <c r="DVB202" s="28"/>
      <c r="DVC202" s="28"/>
      <c r="DVD202" s="28"/>
      <c r="DVE202" s="28"/>
      <c r="DVF202" s="28"/>
      <c r="DVG202" s="28"/>
      <c r="DVH202" s="28"/>
      <c r="DVI202" s="28"/>
      <c r="DVJ202" s="28"/>
      <c r="DVK202" s="28"/>
      <c r="DVL202" s="28"/>
      <c r="DVM202" s="28"/>
      <c r="DVN202" s="28"/>
      <c r="DVO202" s="28"/>
      <c r="DVP202" s="28"/>
      <c r="DVQ202" s="28"/>
      <c r="DVR202" s="28"/>
      <c r="DVS202" s="28"/>
      <c r="DVT202" s="28"/>
      <c r="DVU202" s="28"/>
      <c r="DVV202" s="28"/>
      <c r="DVW202" s="28"/>
      <c r="DVX202" s="28"/>
      <c r="DVY202" s="28"/>
      <c r="DVZ202" s="28"/>
      <c r="DWA202" s="28"/>
      <c r="DWB202" s="28"/>
      <c r="DWC202" s="28"/>
      <c r="DWD202" s="28"/>
      <c r="DWE202" s="28"/>
      <c r="DWF202" s="28"/>
      <c r="DWG202" s="28"/>
      <c r="DWH202" s="28"/>
      <c r="DWI202" s="28"/>
      <c r="DWJ202" s="28"/>
      <c r="DWK202" s="28"/>
      <c r="DWL202" s="28"/>
      <c r="DWM202" s="28"/>
      <c r="DWN202" s="28"/>
      <c r="DWO202" s="28"/>
      <c r="DWP202" s="28"/>
      <c r="DWQ202" s="28"/>
      <c r="DWR202" s="28"/>
      <c r="DWS202" s="28"/>
      <c r="DWT202" s="28"/>
      <c r="DWU202" s="28"/>
      <c r="DWV202" s="28"/>
      <c r="DWW202" s="28"/>
      <c r="DWX202" s="28"/>
      <c r="DWY202" s="28"/>
      <c r="DWZ202" s="28"/>
      <c r="DXA202" s="28"/>
      <c r="DXB202" s="28"/>
      <c r="DXC202" s="28"/>
      <c r="DXD202" s="28"/>
      <c r="DXE202" s="28"/>
      <c r="DXF202" s="28"/>
      <c r="DXG202" s="28"/>
      <c r="DXH202" s="28"/>
      <c r="DXI202" s="28"/>
      <c r="DXJ202" s="28"/>
      <c r="DXK202" s="28"/>
      <c r="DXL202" s="28"/>
      <c r="DXM202" s="28"/>
      <c r="DXN202" s="28"/>
      <c r="DXO202" s="28"/>
      <c r="DXP202" s="28"/>
      <c r="DXQ202" s="28"/>
      <c r="DXR202" s="28"/>
      <c r="DXS202" s="28"/>
      <c r="DXT202" s="28"/>
      <c r="DXU202" s="28"/>
      <c r="DXV202" s="28"/>
      <c r="DXW202" s="28"/>
      <c r="DXX202" s="28"/>
      <c r="DXY202" s="28"/>
      <c r="DXZ202" s="28"/>
      <c r="DYA202" s="28"/>
      <c r="DYB202" s="28"/>
      <c r="DYC202" s="28"/>
      <c r="DYD202" s="28"/>
      <c r="DYE202" s="28"/>
      <c r="DYF202" s="28"/>
      <c r="DYG202" s="28"/>
      <c r="DYH202" s="28"/>
      <c r="DYI202" s="28"/>
      <c r="DYJ202" s="28"/>
      <c r="DYK202" s="28"/>
      <c r="DYL202" s="28"/>
      <c r="DYM202" s="28"/>
      <c r="DYN202" s="28"/>
      <c r="DYO202" s="28"/>
      <c r="DYP202" s="28"/>
      <c r="DYQ202" s="28"/>
      <c r="DYR202" s="28"/>
      <c r="DYS202" s="28"/>
      <c r="DYT202" s="28"/>
      <c r="DYU202" s="28"/>
      <c r="DYV202" s="28"/>
      <c r="DYW202" s="28"/>
      <c r="DYX202" s="28"/>
      <c r="DYY202" s="28"/>
      <c r="DYZ202" s="28"/>
      <c r="DZA202" s="28"/>
      <c r="DZB202" s="28"/>
      <c r="DZC202" s="28"/>
      <c r="DZD202" s="28"/>
      <c r="DZE202" s="28"/>
      <c r="DZF202" s="28"/>
      <c r="DZG202" s="28"/>
      <c r="DZH202" s="28"/>
      <c r="DZI202" s="28"/>
      <c r="DZJ202" s="28"/>
      <c r="DZK202" s="28"/>
      <c r="DZL202" s="28"/>
      <c r="DZM202" s="28"/>
      <c r="DZN202" s="28"/>
      <c r="DZO202" s="28"/>
      <c r="DZP202" s="28"/>
      <c r="DZQ202" s="28"/>
      <c r="DZR202" s="28"/>
      <c r="DZS202" s="28"/>
      <c r="DZT202" s="28"/>
      <c r="DZU202" s="28"/>
      <c r="DZV202" s="28"/>
      <c r="DZW202" s="28"/>
      <c r="DZX202" s="28"/>
      <c r="DZY202" s="28"/>
      <c r="DZZ202" s="28"/>
      <c r="EAA202" s="28"/>
      <c r="EAB202" s="28"/>
      <c r="EAC202" s="28"/>
      <c r="EAD202" s="28"/>
      <c r="EAE202" s="28"/>
      <c r="EAF202" s="28"/>
      <c r="EAG202" s="28"/>
      <c r="EAH202" s="28"/>
      <c r="EAI202" s="28"/>
      <c r="EAJ202" s="28"/>
      <c r="EAK202" s="28"/>
      <c r="EAL202" s="28"/>
      <c r="EAM202" s="28"/>
      <c r="EAN202" s="28"/>
      <c r="EAO202" s="28"/>
      <c r="EAP202" s="28"/>
      <c r="EAQ202" s="28"/>
      <c r="EAR202" s="28"/>
      <c r="EAS202" s="28"/>
      <c r="EAT202" s="28"/>
      <c r="EAU202" s="28"/>
      <c r="EAV202" s="28"/>
      <c r="EAW202" s="28"/>
      <c r="EAX202" s="28"/>
      <c r="EAY202" s="28"/>
      <c r="EAZ202" s="28"/>
      <c r="EBA202" s="28"/>
      <c r="EBB202" s="28"/>
      <c r="EBC202" s="28"/>
      <c r="EBD202" s="28"/>
      <c r="EBE202" s="28"/>
      <c r="EBF202" s="28"/>
      <c r="EBG202" s="28"/>
      <c r="EBH202" s="28"/>
      <c r="EBI202" s="28"/>
      <c r="EBJ202" s="28"/>
      <c r="EBK202" s="28"/>
      <c r="EBL202" s="28"/>
      <c r="EBM202" s="28"/>
      <c r="EBN202" s="28"/>
      <c r="EBO202" s="28"/>
      <c r="EBP202" s="28"/>
      <c r="EBQ202" s="28"/>
      <c r="EBR202" s="28"/>
      <c r="EBS202" s="28"/>
      <c r="EBT202" s="28"/>
      <c r="EBU202" s="28"/>
      <c r="EBV202" s="28"/>
      <c r="EBW202" s="28"/>
      <c r="EBX202" s="28"/>
      <c r="EBY202" s="28"/>
      <c r="EBZ202" s="28"/>
      <c r="ECA202" s="28"/>
      <c r="ECB202" s="28"/>
      <c r="ECC202" s="28"/>
      <c r="ECD202" s="28"/>
      <c r="ECE202" s="28"/>
      <c r="ECF202" s="28"/>
      <c r="ECG202" s="28"/>
      <c r="ECH202" s="28"/>
      <c r="ECI202" s="28"/>
      <c r="ECJ202" s="28"/>
      <c r="ECK202" s="28"/>
      <c r="ECL202" s="28"/>
      <c r="ECM202" s="28"/>
      <c r="ECN202" s="28"/>
      <c r="ECO202" s="28"/>
      <c r="ECP202" s="28"/>
      <c r="ECQ202" s="28"/>
      <c r="ECR202" s="28"/>
      <c r="ECS202" s="28"/>
      <c r="ECT202" s="28"/>
      <c r="ECU202" s="28"/>
      <c r="ECV202" s="28"/>
      <c r="ECW202" s="28"/>
      <c r="ECX202" s="28"/>
      <c r="ECY202" s="28"/>
      <c r="ECZ202" s="28"/>
      <c r="EDA202" s="28"/>
      <c r="EDB202" s="28"/>
      <c r="EDC202" s="28"/>
      <c r="EDD202" s="28"/>
      <c r="EDE202" s="28"/>
      <c r="EDF202" s="28"/>
      <c r="EDG202" s="28"/>
      <c r="EDH202" s="28"/>
      <c r="EDI202" s="28"/>
      <c r="EDJ202" s="28"/>
      <c r="EDK202" s="28"/>
      <c r="EDL202" s="28"/>
      <c r="EDM202" s="28"/>
      <c r="EDN202" s="28"/>
      <c r="EDO202" s="28"/>
      <c r="EDP202" s="28"/>
      <c r="EDQ202" s="28"/>
      <c r="EDR202" s="28"/>
      <c r="EDS202" s="28"/>
      <c r="EDT202" s="28"/>
      <c r="EDU202" s="28"/>
      <c r="EDV202" s="28"/>
      <c r="EDW202" s="28"/>
      <c r="EDX202" s="28"/>
      <c r="EDY202" s="28"/>
      <c r="EDZ202" s="28"/>
      <c r="EEA202" s="28"/>
      <c r="EEB202" s="28"/>
      <c r="EEC202" s="28"/>
      <c r="EED202" s="28"/>
      <c r="EEE202" s="28"/>
      <c r="EEF202" s="28"/>
      <c r="EEG202" s="28"/>
      <c r="EEH202" s="28"/>
      <c r="EEI202" s="28"/>
      <c r="EEJ202" s="28"/>
      <c r="EEK202" s="28"/>
      <c r="EEL202" s="28"/>
      <c r="EEM202" s="28"/>
      <c r="EEN202" s="28"/>
      <c r="EEO202" s="28"/>
      <c r="EEP202" s="28"/>
      <c r="EEQ202" s="28"/>
      <c r="EER202" s="28"/>
      <c r="EES202" s="28"/>
      <c r="EET202" s="28"/>
      <c r="EEU202" s="28"/>
      <c r="EEV202" s="28"/>
      <c r="EEW202" s="28"/>
      <c r="EEX202" s="28"/>
      <c r="EEY202" s="28"/>
      <c r="EEZ202" s="28"/>
      <c r="EFA202" s="28"/>
      <c r="EFB202" s="28"/>
      <c r="EFC202" s="28"/>
      <c r="EFD202" s="28"/>
      <c r="EFE202" s="28"/>
      <c r="EFF202" s="28"/>
      <c r="EFG202" s="28"/>
      <c r="EFH202" s="28"/>
      <c r="EFI202" s="28"/>
      <c r="EFJ202" s="28"/>
      <c r="EFK202" s="28"/>
      <c r="EFL202" s="28"/>
      <c r="EFM202" s="28"/>
      <c r="EFN202" s="28"/>
      <c r="EFO202" s="28"/>
      <c r="EFP202" s="28"/>
      <c r="EFQ202" s="28"/>
      <c r="EFR202" s="28"/>
      <c r="EFS202" s="28"/>
      <c r="EFT202" s="28"/>
      <c r="EFU202" s="28"/>
      <c r="EFV202" s="28"/>
      <c r="EFW202" s="28"/>
      <c r="EFX202" s="28"/>
      <c r="EFY202" s="28"/>
      <c r="EFZ202" s="28"/>
      <c r="EGA202" s="28"/>
      <c r="EGB202" s="28"/>
      <c r="EGC202" s="28"/>
      <c r="EGD202" s="28"/>
      <c r="EGE202" s="28"/>
      <c r="EGF202" s="28"/>
      <c r="EGG202" s="28"/>
      <c r="EGH202" s="28"/>
      <c r="EGI202" s="28"/>
      <c r="EGJ202" s="28"/>
      <c r="EGK202" s="28"/>
      <c r="EGL202" s="28"/>
      <c r="EGM202" s="28"/>
      <c r="EGN202" s="28"/>
      <c r="EGO202" s="28"/>
      <c r="EGP202" s="28"/>
      <c r="EGQ202" s="28"/>
      <c r="EGR202" s="28"/>
      <c r="EGS202" s="28"/>
      <c r="EGT202" s="28"/>
      <c r="EGU202" s="28"/>
      <c r="EGV202" s="28"/>
      <c r="EGW202" s="28"/>
      <c r="EGX202" s="28"/>
      <c r="EGY202" s="28"/>
      <c r="EGZ202" s="28"/>
      <c r="EHA202" s="28"/>
      <c r="EHB202" s="28"/>
      <c r="EHC202" s="28"/>
      <c r="EHD202" s="28"/>
      <c r="EHE202" s="28"/>
      <c r="EHF202" s="28"/>
      <c r="EHG202" s="28"/>
      <c r="EHH202" s="28"/>
      <c r="EHI202" s="28"/>
      <c r="EHJ202" s="28"/>
      <c r="EHK202" s="28"/>
      <c r="EHL202" s="28"/>
      <c r="EHM202" s="28"/>
      <c r="EHN202" s="28"/>
      <c r="EHO202" s="28"/>
      <c r="EHP202" s="28"/>
      <c r="EHQ202" s="28"/>
      <c r="EHR202" s="28"/>
      <c r="EHS202" s="28"/>
      <c r="EHT202" s="28"/>
      <c r="EHU202" s="28"/>
      <c r="EHV202" s="28"/>
      <c r="EHW202" s="28"/>
      <c r="EHX202" s="28"/>
      <c r="EHY202" s="28"/>
      <c r="EHZ202" s="28"/>
      <c r="EIA202" s="28"/>
      <c r="EIB202" s="28"/>
      <c r="EIC202" s="28"/>
      <c r="EID202" s="28"/>
      <c r="EIE202" s="28"/>
      <c r="EIF202" s="28"/>
      <c r="EIG202" s="28"/>
      <c r="EIH202" s="28"/>
      <c r="EII202" s="28"/>
      <c r="EIJ202" s="28"/>
      <c r="EIK202" s="28"/>
      <c r="EIL202" s="28"/>
      <c r="EIM202" s="28"/>
      <c r="EIN202" s="28"/>
      <c r="EIO202" s="28"/>
      <c r="EIP202" s="28"/>
      <c r="EIQ202" s="28"/>
      <c r="EIR202" s="28"/>
      <c r="EIS202" s="28"/>
      <c r="EIT202" s="28"/>
      <c r="EIU202" s="28"/>
      <c r="EIV202" s="28"/>
      <c r="EIW202" s="28"/>
      <c r="EIX202" s="28"/>
      <c r="EIY202" s="28"/>
      <c r="EIZ202" s="28"/>
      <c r="EJA202" s="28"/>
      <c r="EJB202" s="28"/>
      <c r="EJC202" s="28"/>
      <c r="EJD202" s="28"/>
      <c r="EJE202" s="28"/>
      <c r="EJF202" s="28"/>
      <c r="EJG202" s="28"/>
      <c r="EJH202" s="28"/>
      <c r="EJI202" s="28"/>
      <c r="EJJ202" s="28"/>
      <c r="EJK202" s="28"/>
      <c r="EJL202" s="28"/>
      <c r="EJM202" s="28"/>
      <c r="EJN202" s="28"/>
      <c r="EJO202" s="28"/>
      <c r="EJP202" s="28"/>
      <c r="EJQ202" s="28"/>
      <c r="EJR202" s="28"/>
      <c r="EJS202" s="28"/>
      <c r="EJT202" s="28"/>
      <c r="EJU202" s="28"/>
      <c r="EJV202" s="28"/>
      <c r="EJW202" s="28"/>
      <c r="EJX202" s="28"/>
      <c r="EJY202" s="28"/>
      <c r="EJZ202" s="28"/>
      <c r="EKA202" s="28"/>
      <c r="EKB202" s="28"/>
      <c r="EKC202" s="28"/>
      <c r="EKD202" s="28"/>
      <c r="EKE202" s="28"/>
      <c r="EKF202" s="28"/>
      <c r="EKG202" s="28"/>
      <c r="EKH202" s="28"/>
      <c r="EKI202" s="28"/>
      <c r="EKJ202" s="28"/>
      <c r="EKK202" s="28"/>
      <c r="EKL202" s="28"/>
      <c r="EKM202" s="28"/>
      <c r="EKN202" s="28"/>
      <c r="EKO202" s="28"/>
      <c r="EKP202" s="28"/>
      <c r="EKQ202" s="28"/>
      <c r="EKR202" s="28"/>
      <c r="EKS202" s="28"/>
      <c r="EKT202" s="28"/>
      <c r="EKU202" s="28"/>
      <c r="EKV202" s="28"/>
      <c r="EKW202" s="28"/>
      <c r="EKX202" s="28"/>
      <c r="EKY202" s="28"/>
      <c r="EKZ202" s="28"/>
      <c r="ELA202" s="28"/>
      <c r="ELB202" s="28"/>
      <c r="ELC202" s="28"/>
      <c r="ELD202" s="28"/>
      <c r="ELE202" s="28"/>
      <c r="ELF202" s="28"/>
      <c r="ELG202" s="28"/>
      <c r="ELH202" s="28"/>
      <c r="ELI202" s="28"/>
      <c r="ELJ202" s="28"/>
      <c r="ELK202" s="28"/>
      <c r="ELL202" s="28"/>
      <c r="ELM202" s="28"/>
      <c r="ELN202" s="28"/>
      <c r="ELO202" s="28"/>
      <c r="ELP202" s="28"/>
      <c r="ELQ202" s="28"/>
      <c r="ELR202" s="28"/>
      <c r="ELS202" s="28"/>
      <c r="ELT202" s="28"/>
      <c r="ELU202" s="28"/>
      <c r="ELV202" s="28"/>
      <c r="ELW202" s="28"/>
      <c r="ELX202" s="28"/>
      <c r="ELY202" s="28"/>
      <c r="ELZ202" s="28"/>
      <c r="EMA202" s="28"/>
      <c r="EMB202" s="28"/>
      <c r="EMC202" s="28"/>
      <c r="EMD202" s="28"/>
      <c r="EME202" s="28"/>
      <c r="EMF202" s="28"/>
      <c r="EMG202" s="28"/>
      <c r="EMH202" s="28"/>
      <c r="EMI202" s="28"/>
      <c r="EMJ202" s="28"/>
      <c r="EMK202" s="28"/>
      <c r="EML202" s="28"/>
      <c r="EMM202" s="28"/>
      <c r="EMN202" s="28"/>
      <c r="EMO202" s="28"/>
      <c r="EMP202" s="28"/>
      <c r="EMQ202" s="28"/>
      <c r="EMR202" s="28"/>
      <c r="EMS202" s="28"/>
      <c r="EMT202" s="28"/>
      <c r="EMU202" s="28"/>
      <c r="EMV202" s="28"/>
      <c r="EMW202" s="28"/>
      <c r="EMX202" s="28"/>
      <c r="EMY202" s="28"/>
      <c r="EMZ202" s="28"/>
      <c r="ENA202" s="28"/>
      <c r="ENB202" s="28"/>
      <c r="ENC202" s="28"/>
      <c r="END202" s="28"/>
      <c r="ENE202" s="28"/>
      <c r="ENF202" s="28"/>
      <c r="ENG202" s="28"/>
      <c r="ENH202" s="28"/>
      <c r="ENI202" s="28"/>
      <c r="ENJ202" s="28"/>
      <c r="ENK202" s="28"/>
      <c r="ENL202" s="28"/>
      <c r="ENM202" s="28"/>
      <c r="ENN202" s="28"/>
      <c r="ENO202" s="28"/>
      <c r="ENP202" s="28"/>
      <c r="ENQ202" s="28"/>
      <c r="ENR202" s="28"/>
      <c r="ENS202" s="28"/>
      <c r="ENT202" s="28"/>
      <c r="ENU202" s="28"/>
      <c r="ENV202" s="28"/>
      <c r="ENW202" s="28"/>
      <c r="ENX202" s="28"/>
      <c r="ENY202" s="28"/>
      <c r="ENZ202" s="28"/>
      <c r="EOA202" s="28"/>
      <c r="EOB202" s="28"/>
      <c r="EOC202" s="28"/>
      <c r="EOD202" s="28"/>
      <c r="EOE202" s="28"/>
      <c r="EOF202" s="28"/>
      <c r="EOG202" s="28"/>
      <c r="EOH202" s="28"/>
      <c r="EOI202" s="28"/>
      <c r="EOJ202" s="28"/>
      <c r="EOK202" s="28"/>
      <c r="EOL202" s="28"/>
      <c r="EOM202" s="28"/>
      <c r="EON202" s="28"/>
      <c r="EOO202" s="28"/>
      <c r="EOP202" s="28"/>
      <c r="EOQ202" s="28"/>
      <c r="EOR202" s="28"/>
      <c r="EOS202" s="28"/>
      <c r="EOT202" s="28"/>
      <c r="EOU202" s="28"/>
      <c r="EOV202" s="28"/>
      <c r="EOW202" s="28"/>
      <c r="EOX202" s="28"/>
      <c r="EOY202" s="28"/>
      <c r="EOZ202" s="28"/>
      <c r="EPA202" s="28"/>
      <c r="EPB202" s="28"/>
      <c r="EPC202" s="28"/>
      <c r="EPD202" s="28"/>
      <c r="EPE202" s="28"/>
      <c r="EPF202" s="28"/>
      <c r="EPG202" s="28"/>
      <c r="EPH202" s="28"/>
      <c r="EPI202" s="28"/>
      <c r="EPJ202" s="28"/>
      <c r="EPK202" s="28"/>
      <c r="EPL202" s="28"/>
      <c r="EPM202" s="28"/>
      <c r="EPN202" s="28"/>
      <c r="EPO202" s="28"/>
      <c r="EPP202" s="28"/>
      <c r="EPQ202" s="28"/>
      <c r="EPR202" s="28"/>
      <c r="EPS202" s="28"/>
      <c r="EPT202" s="28"/>
      <c r="EPU202" s="28"/>
      <c r="EPV202" s="28"/>
      <c r="EPW202" s="28"/>
      <c r="EPX202" s="28"/>
      <c r="EPY202" s="28"/>
      <c r="EPZ202" s="28"/>
      <c r="EQA202" s="28"/>
      <c r="EQB202" s="28"/>
      <c r="EQC202" s="28"/>
      <c r="EQD202" s="28"/>
      <c r="EQE202" s="28"/>
      <c r="EQF202" s="28"/>
      <c r="EQG202" s="28"/>
      <c r="EQH202" s="28"/>
      <c r="EQI202" s="28"/>
      <c r="EQJ202" s="28"/>
      <c r="EQK202" s="28"/>
      <c r="EQL202" s="28"/>
      <c r="EQM202" s="28"/>
      <c r="EQN202" s="28"/>
      <c r="EQO202" s="28"/>
      <c r="EQP202" s="28"/>
      <c r="EQQ202" s="28"/>
      <c r="EQR202" s="28"/>
      <c r="EQS202" s="28"/>
      <c r="EQT202" s="28"/>
      <c r="EQU202" s="28"/>
      <c r="EQV202" s="28"/>
      <c r="EQW202" s="28"/>
      <c r="EQX202" s="28"/>
      <c r="EQY202" s="28"/>
      <c r="EQZ202" s="28"/>
      <c r="ERA202" s="28"/>
      <c r="ERB202" s="28"/>
      <c r="ERC202" s="28"/>
      <c r="ERD202" s="28"/>
      <c r="ERE202" s="28"/>
      <c r="ERF202" s="28"/>
      <c r="ERG202" s="28"/>
      <c r="ERH202" s="28"/>
      <c r="ERI202" s="28"/>
      <c r="ERJ202" s="28"/>
      <c r="ERK202" s="28"/>
      <c r="ERL202" s="28"/>
      <c r="ERM202" s="28"/>
      <c r="ERN202" s="28"/>
      <c r="ERO202" s="28"/>
      <c r="ERP202" s="28"/>
      <c r="ERQ202" s="28"/>
      <c r="ERR202" s="28"/>
      <c r="ERS202" s="28"/>
      <c r="ERT202" s="28"/>
      <c r="ERU202" s="28"/>
      <c r="ERV202" s="28"/>
      <c r="ERW202" s="28"/>
      <c r="ERX202" s="28"/>
      <c r="ERY202" s="28"/>
      <c r="ERZ202" s="28"/>
      <c r="ESA202" s="28"/>
      <c r="ESB202" s="28"/>
      <c r="ESC202" s="28"/>
      <c r="ESD202" s="28"/>
      <c r="ESE202" s="28"/>
      <c r="ESF202" s="28"/>
      <c r="ESG202" s="28"/>
      <c r="ESH202" s="28"/>
      <c r="ESI202" s="28"/>
      <c r="ESJ202" s="28"/>
      <c r="ESK202" s="28"/>
      <c r="ESL202" s="28"/>
      <c r="ESM202" s="28"/>
      <c r="ESN202" s="28"/>
      <c r="ESO202" s="28"/>
      <c r="ESP202" s="28"/>
      <c r="ESQ202" s="28"/>
      <c r="ESR202" s="28"/>
      <c r="ESS202" s="28"/>
      <c r="EST202" s="28"/>
      <c r="ESU202" s="28"/>
      <c r="ESV202" s="28"/>
      <c r="ESW202" s="28"/>
      <c r="ESX202" s="28"/>
      <c r="ESY202" s="28"/>
      <c r="ESZ202" s="28"/>
      <c r="ETA202" s="28"/>
      <c r="ETB202" s="28"/>
      <c r="ETC202" s="28"/>
      <c r="ETD202" s="28"/>
      <c r="ETE202" s="28"/>
      <c r="ETF202" s="28"/>
      <c r="ETG202" s="28"/>
      <c r="ETH202" s="28"/>
      <c r="ETI202" s="28"/>
      <c r="ETJ202" s="28"/>
      <c r="ETK202" s="28"/>
      <c r="ETL202" s="28"/>
      <c r="ETM202" s="28"/>
      <c r="ETN202" s="28"/>
      <c r="ETO202" s="28"/>
      <c r="ETP202" s="28"/>
      <c r="ETQ202" s="28"/>
      <c r="ETR202" s="28"/>
      <c r="ETS202" s="28"/>
      <c r="ETT202" s="28"/>
      <c r="ETU202" s="28"/>
      <c r="ETV202" s="28"/>
      <c r="ETW202" s="28"/>
      <c r="ETX202" s="28"/>
      <c r="ETY202" s="28"/>
      <c r="ETZ202" s="28"/>
      <c r="EUA202" s="28"/>
      <c r="EUB202" s="28"/>
      <c r="EUC202" s="28"/>
      <c r="EUD202" s="28"/>
      <c r="EUE202" s="28"/>
      <c r="EUF202" s="28"/>
      <c r="EUG202" s="28"/>
      <c r="EUH202" s="28"/>
      <c r="EUI202" s="28"/>
      <c r="EUJ202" s="28"/>
      <c r="EUK202" s="28"/>
      <c r="EUL202" s="28"/>
      <c r="EUM202" s="28"/>
      <c r="EUN202" s="28"/>
      <c r="EUO202" s="28"/>
      <c r="EUP202" s="28"/>
      <c r="EUQ202" s="28"/>
      <c r="EUR202" s="28"/>
      <c r="EUS202" s="28"/>
      <c r="EUT202" s="28"/>
      <c r="EUU202" s="28"/>
      <c r="EUV202" s="28"/>
      <c r="EUW202" s="28"/>
      <c r="EUX202" s="28"/>
      <c r="EUY202" s="28"/>
      <c r="EUZ202" s="28"/>
      <c r="EVA202" s="28"/>
      <c r="EVB202" s="28"/>
      <c r="EVC202" s="28"/>
      <c r="EVD202" s="28"/>
      <c r="EVE202" s="28"/>
      <c r="EVF202" s="28"/>
      <c r="EVG202" s="28"/>
      <c r="EVH202" s="28"/>
      <c r="EVI202" s="28"/>
      <c r="EVJ202" s="28"/>
      <c r="EVK202" s="28"/>
      <c r="EVL202" s="28"/>
      <c r="EVM202" s="28"/>
      <c r="EVN202" s="28"/>
      <c r="EVO202" s="28"/>
      <c r="EVP202" s="28"/>
      <c r="EVQ202" s="28"/>
      <c r="EVR202" s="28"/>
      <c r="EVS202" s="28"/>
      <c r="EVT202" s="28"/>
      <c r="EVU202" s="28"/>
      <c r="EVV202" s="28"/>
      <c r="EVW202" s="28"/>
      <c r="EVX202" s="28"/>
      <c r="EVY202" s="28"/>
      <c r="EVZ202" s="28"/>
      <c r="EWA202" s="28"/>
      <c r="EWB202" s="28"/>
      <c r="EWC202" s="28"/>
      <c r="EWD202" s="28"/>
      <c r="EWE202" s="28"/>
      <c r="EWF202" s="28"/>
      <c r="EWG202" s="28"/>
      <c r="EWH202" s="28"/>
      <c r="EWI202" s="28"/>
      <c r="EWJ202" s="28"/>
      <c r="EWK202" s="28"/>
      <c r="EWL202" s="28"/>
      <c r="EWM202" s="28"/>
      <c r="EWN202" s="28"/>
      <c r="EWO202" s="28"/>
      <c r="EWP202" s="28"/>
      <c r="EWQ202" s="28"/>
      <c r="EWR202" s="28"/>
      <c r="EWS202" s="28"/>
      <c r="EWT202" s="28"/>
      <c r="EWU202" s="28"/>
      <c r="EWV202" s="28"/>
      <c r="EWW202" s="28"/>
      <c r="EWX202" s="28"/>
      <c r="EWY202" s="28"/>
      <c r="EWZ202" s="28"/>
      <c r="EXA202" s="28"/>
      <c r="EXB202" s="28"/>
      <c r="EXC202" s="28"/>
      <c r="EXD202" s="28"/>
      <c r="EXE202" s="28"/>
      <c r="EXF202" s="28"/>
      <c r="EXG202" s="28"/>
      <c r="EXH202" s="28"/>
      <c r="EXI202" s="28"/>
      <c r="EXJ202" s="28"/>
      <c r="EXK202" s="28"/>
      <c r="EXL202" s="28"/>
      <c r="EXM202" s="28"/>
      <c r="EXN202" s="28"/>
      <c r="EXO202" s="28"/>
      <c r="EXP202" s="28"/>
      <c r="EXQ202" s="28"/>
      <c r="EXR202" s="28"/>
      <c r="EXS202" s="28"/>
      <c r="EXT202" s="28"/>
      <c r="EXU202" s="28"/>
      <c r="EXV202" s="28"/>
      <c r="EXW202" s="28"/>
      <c r="EXX202" s="28"/>
      <c r="EXY202" s="28"/>
      <c r="EXZ202" s="28"/>
      <c r="EYA202" s="28"/>
      <c r="EYB202" s="28"/>
      <c r="EYC202" s="28"/>
      <c r="EYD202" s="28"/>
      <c r="EYE202" s="28"/>
      <c r="EYF202" s="28"/>
      <c r="EYG202" s="28"/>
      <c r="EYH202" s="28"/>
      <c r="EYI202" s="28"/>
      <c r="EYJ202" s="28"/>
      <c r="EYK202" s="28"/>
      <c r="EYL202" s="28"/>
      <c r="EYM202" s="28"/>
      <c r="EYN202" s="28"/>
      <c r="EYO202" s="28"/>
      <c r="EYP202" s="28"/>
      <c r="EYQ202" s="28"/>
      <c r="EYR202" s="28"/>
      <c r="EYS202" s="28"/>
      <c r="EYT202" s="28"/>
      <c r="EYU202" s="28"/>
      <c r="EYV202" s="28"/>
      <c r="EYW202" s="28"/>
      <c r="EYX202" s="28"/>
      <c r="EYY202" s="28"/>
      <c r="EYZ202" s="28"/>
      <c r="EZA202" s="28"/>
      <c r="EZB202" s="28"/>
      <c r="EZC202" s="28"/>
      <c r="EZD202" s="28"/>
      <c r="EZE202" s="28"/>
      <c r="EZF202" s="28"/>
      <c r="EZG202" s="28"/>
      <c r="EZH202" s="28"/>
      <c r="EZI202" s="28"/>
      <c r="EZJ202" s="28"/>
      <c r="EZK202" s="28"/>
      <c r="EZL202" s="28"/>
      <c r="EZM202" s="28"/>
      <c r="EZN202" s="28"/>
      <c r="EZO202" s="28"/>
      <c r="EZP202" s="28"/>
      <c r="EZQ202" s="28"/>
      <c r="EZR202" s="28"/>
      <c r="EZS202" s="28"/>
      <c r="EZT202" s="28"/>
      <c r="EZU202" s="28"/>
      <c r="EZV202" s="28"/>
      <c r="EZW202" s="28"/>
      <c r="EZX202" s="28"/>
      <c r="EZY202" s="28"/>
      <c r="EZZ202" s="28"/>
      <c r="FAA202" s="28"/>
      <c r="FAB202" s="28"/>
      <c r="FAC202" s="28"/>
      <c r="FAD202" s="28"/>
      <c r="FAE202" s="28"/>
      <c r="FAF202" s="28"/>
      <c r="FAG202" s="28"/>
      <c r="FAH202" s="28"/>
      <c r="FAI202" s="28"/>
      <c r="FAJ202" s="28"/>
      <c r="FAK202" s="28"/>
      <c r="FAL202" s="28"/>
      <c r="FAM202" s="28"/>
      <c r="FAN202" s="28"/>
      <c r="FAO202" s="28"/>
      <c r="FAP202" s="28"/>
      <c r="FAQ202" s="28"/>
      <c r="FAR202" s="28"/>
      <c r="FAS202" s="28"/>
      <c r="FAT202" s="28"/>
      <c r="FAU202" s="28"/>
      <c r="FAV202" s="28"/>
      <c r="FAW202" s="28"/>
      <c r="FAX202" s="28"/>
      <c r="FAY202" s="28"/>
      <c r="FAZ202" s="28"/>
      <c r="FBA202" s="28"/>
      <c r="FBB202" s="28"/>
      <c r="FBC202" s="28"/>
      <c r="FBD202" s="28"/>
      <c r="FBE202" s="28"/>
      <c r="FBF202" s="28"/>
      <c r="FBG202" s="28"/>
      <c r="FBH202" s="28"/>
      <c r="FBI202" s="28"/>
      <c r="FBJ202" s="28"/>
      <c r="FBK202" s="28"/>
      <c r="FBL202" s="28"/>
      <c r="FBM202" s="28"/>
      <c r="FBN202" s="28"/>
      <c r="FBO202" s="28"/>
      <c r="FBP202" s="28"/>
      <c r="FBQ202" s="28"/>
      <c r="FBR202" s="28"/>
      <c r="FBS202" s="28"/>
      <c r="FBT202" s="28"/>
      <c r="FBU202" s="28"/>
      <c r="FBV202" s="28"/>
      <c r="FBW202" s="28"/>
      <c r="FBX202" s="28"/>
      <c r="FBY202" s="28"/>
      <c r="FBZ202" s="28"/>
      <c r="FCA202" s="28"/>
      <c r="FCB202" s="28"/>
      <c r="FCC202" s="28"/>
      <c r="FCD202" s="28"/>
      <c r="FCE202" s="28"/>
      <c r="FCF202" s="28"/>
      <c r="FCG202" s="28"/>
      <c r="FCH202" s="28"/>
      <c r="FCI202" s="28"/>
      <c r="FCJ202" s="28"/>
      <c r="FCK202" s="28"/>
      <c r="FCL202" s="28"/>
      <c r="FCM202" s="28"/>
      <c r="FCN202" s="28"/>
      <c r="FCO202" s="28"/>
      <c r="FCP202" s="28"/>
      <c r="FCQ202" s="28"/>
      <c r="FCR202" s="28"/>
      <c r="FCS202" s="28"/>
      <c r="FCT202" s="28"/>
      <c r="FCU202" s="28"/>
      <c r="FCV202" s="28"/>
      <c r="FCW202" s="28"/>
      <c r="FCX202" s="28"/>
      <c r="FCY202" s="28"/>
      <c r="FCZ202" s="28"/>
      <c r="FDA202" s="28"/>
      <c r="FDB202" s="28"/>
      <c r="FDC202" s="28"/>
      <c r="FDD202" s="28"/>
      <c r="FDE202" s="28"/>
      <c r="FDF202" s="28"/>
      <c r="FDG202" s="28"/>
      <c r="FDH202" s="28"/>
      <c r="FDI202" s="28"/>
      <c r="FDJ202" s="28"/>
      <c r="FDK202" s="28"/>
      <c r="FDL202" s="28"/>
      <c r="FDM202" s="28"/>
      <c r="FDN202" s="28"/>
      <c r="FDO202" s="28"/>
      <c r="FDP202" s="28"/>
      <c r="FDQ202" s="28"/>
      <c r="FDR202" s="28"/>
      <c r="FDS202" s="28"/>
      <c r="FDT202" s="28"/>
      <c r="FDU202" s="28"/>
      <c r="FDV202" s="28"/>
      <c r="FDW202" s="28"/>
      <c r="FDX202" s="28"/>
      <c r="FDY202" s="28"/>
      <c r="FDZ202" s="28"/>
      <c r="FEA202" s="28"/>
      <c r="FEB202" s="28"/>
      <c r="FEC202" s="28"/>
      <c r="FED202" s="28"/>
      <c r="FEE202" s="28"/>
      <c r="FEF202" s="28"/>
      <c r="FEG202" s="28"/>
      <c r="FEH202" s="28"/>
      <c r="FEI202" s="28"/>
      <c r="FEJ202" s="28"/>
      <c r="FEK202" s="28"/>
      <c r="FEL202" s="28"/>
      <c r="FEM202" s="28"/>
      <c r="FEN202" s="28"/>
      <c r="FEO202" s="28"/>
      <c r="FEP202" s="28"/>
      <c r="FEQ202" s="28"/>
      <c r="FER202" s="28"/>
      <c r="FES202" s="28"/>
      <c r="FET202" s="28"/>
      <c r="FEU202" s="28"/>
      <c r="FEV202" s="28"/>
      <c r="FEW202" s="28"/>
      <c r="FEX202" s="28"/>
      <c r="FEY202" s="28"/>
      <c r="FEZ202" s="28"/>
      <c r="FFA202" s="28"/>
      <c r="FFB202" s="28"/>
      <c r="FFC202" s="28"/>
      <c r="FFD202" s="28"/>
      <c r="FFE202" s="28"/>
      <c r="FFF202" s="28"/>
      <c r="FFG202" s="28"/>
      <c r="FFH202" s="28"/>
      <c r="FFI202" s="28"/>
      <c r="FFJ202" s="28"/>
      <c r="FFK202" s="28"/>
      <c r="FFL202" s="28"/>
      <c r="FFM202" s="28"/>
      <c r="FFN202" s="28"/>
      <c r="FFO202" s="28"/>
      <c r="FFP202" s="28"/>
      <c r="FFQ202" s="28"/>
      <c r="FFR202" s="28"/>
      <c r="FFS202" s="28"/>
      <c r="FFT202" s="28"/>
      <c r="FFU202" s="28"/>
      <c r="FFV202" s="28"/>
      <c r="FFW202" s="28"/>
      <c r="FFX202" s="28"/>
      <c r="FFY202" s="28"/>
      <c r="FFZ202" s="28"/>
      <c r="FGA202" s="28"/>
      <c r="FGB202" s="28"/>
      <c r="FGC202" s="28"/>
      <c r="FGD202" s="28"/>
      <c r="FGE202" s="28"/>
      <c r="FGF202" s="28"/>
      <c r="FGG202" s="28"/>
      <c r="FGH202" s="28"/>
      <c r="FGI202" s="28"/>
      <c r="FGJ202" s="28"/>
      <c r="FGK202" s="28"/>
      <c r="FGL202" s="28"/>
      <c r="FGM202" s="28"/>
      <c r="FGN202" s="28"/>
      <c r="FGO202" s="28"/>
      <c r="FGP202" s="28"/>
      <c r="FGQ202" s="28"/>
      <c r="FGR202" s="28"/>
      <c r="FGS202" s="28"/>
      <c r="FGT202" s="28"/>
      <c r="FGU202" s="28"/>
      <c r="FGV202" s="28"/>
      <c r="FGW202" s="28"/>
      <c r="FGX202" s="28"/>
      <c r="FGY202" s="28"/>
      <c r="FGZ202" s="28"/>
      <c r="FHA202" s="28"/>
      <c r="FHB202" s="28"/>
      <c r="FHC202" s="28"/>
      <c r="FHD202" s="28"/>
      <c r="FHE202" s="28"/>
      <c r="FHF202" s="28"/>
      <c r="FHG202" s="28"/>
      <c r="FHH202" s="28"/>
      <c r="FHI202" s="28"/>
      <c r="FHJ202" s="28"/>
      <c r="FHK202" s="28"/>
      <c r="FHL202" s="28"/>
      <c r="FHM202" s="28"/>
      <c r="FHN202" s="28"/>
      <c r="FHO202" s="28"/>
      <c r="FHP202" s="28"/>
      <c r="FHQ202" s="28"/>
      <c r="FHR202" s="28"/>
      <c r="FHS202" s="28"/>
      <c r="FHT202" s="28"/>
      <c r="FHU202" s="28"/>
      <c r="FHV202" s="28"/>
      <c r="FHW202" s="28"/>
      <c r="FHX202" s="28"/>
      <c r="FHY202" s="28"/>
      <c r="FHZ202" s="28"/>
      <c r="FIA202" s="28"/>
      <c r="FIB202" s="28"/>
      <c r="FIC202" s="28"/>
      <c r="FID202" s="28"/>
      <c r="FIE202" s="28"/>
      <c r="FIF202" s="28"/>
      <c r="FIG202" s="28"/>
      <c r="FIH202" s="28"/>
      <c r="FII202" s="28"/>
      <c r="FIJ202" s="28"/>
      <c r="FIK202" s="28"/>
      <c r="FIL202" s="28"/>
      <c r="FIM202" s="28"/>
      <c r="FIN202" s="28"/>
      <c r="FIO202" s="28"/>
      <c r="FIP202" s="28"/>
      <c r="FIQ202" s="28"/>
      <c r="FIR202" s="28"/>
      <c r="FIS202" s="28"/>
      <c r="FIT202" s="28"/>
      <c r="FIU202" s="28"/>
      <c r="FIV202" s="28"/>
      <c r="FIW202" s="28"/>
      <c r="FIX202" s="28"/>
      <c r="FIY202" s="28"/>
      <c r="FIZ202" s="28"/>
      <c r="FJA202" s="28"/>
      <c r="FJB202" s="28"/>
      <c r="FJC202" s="28"/>
      <c r="FJD202" s="28"/>
      <c r="FJE202" s="28"/>
      <c r="FJF202" s="28"/>
      <c r="FJG202" s="28"/>
      <c r="FJH202" s="28"/>
      <c r="FJI202" s="28"/>
      <c r="FJJ202" s="28"/>
      <c r="FJK202" s="28"/>
      <c r="FJL202" s="28"/>
      <c r="FJM202" s="28"/>
      <c r="FJN202" s="28"/>
      <c r="FJO202" s="28"/>
      <c r="FJP202" s="28"/>
      <c r="FJQ202" s="28"/>
      <c r="FJR202" s="28"/>
      <c r="FJS202" s="28"/>
      <c r="FJT202" s="28"/>
      <c r="FJU202" s="28"/>
      <c r="FJV202" s="28"/>
      <c r="FJW202" s="28"/>
      <c r="FJX202" s="28"/>
      <c r="FJY202" s="28"/>
      <c r="FJZ202" s="28"/>
      <c r="FKA202" s="28"/>
      <c r="FKB202" s="28"/>
      <c r="FKC202" s="28"/>
      <c r="FKD202" s="28"/>
      <c r="FKE202" s="28"/>
      <c r="FKF202" s="28"/>
      <c r="FKG202" s="28"/>
      <c r="FKH202" s="28"/>
      <c r="FKI202" s="28"/>
      <c r="FKJ202" s="28"/>
      <c r="FKK202" s="28"/>
      <c r="FKL202" s="28"/>
      <c r="FKM202" s="28"/>
      <c r="FKN202" s="28"/>
      <c r="FKO202" s="28"/>
      <c r="FKP202" s="28"/>
      <c r="FKQ202" s="28"/>
      <c r="FKR202" s="28"/>
      <c r="FKS202" s="28"/>
      <c r="FKT202" s="28"/>
      <c r="FKU202" s="28"/>
      <c r="FKV202" s="28"/>
      <c r="FKW202" s="28"/>
      <c r="FKX202" s="28"/>
      <c r="FKY202" s="28"/>
      <c r="FKZ202" s="28"/>
      <c r="FLA202" s="28"/>
      <c r="FLB202" s="28"/>
      <c r="FLC202" s="28"/>
      <c r="FLD202" s="28"/>
      <c r="FLE202" s="28"/>
      <c r="FLF202" s="28"/>
      <c r="FLG202" s="28"/>
      <c r="FLH202" s="28"/>
      <c r="FLI202" s="28"/>
      <c r="FLJ202" s="28"/>
      <c r="FLK202" s="28"/>
      <c r="FLL202" s="28"/>
      <c r="FLM202" s="28"/>
      <c r="FLN202" s="28"/>
      <c r="FLO202" s="28"/>
      <c r="FLP202" s="28"/>
      <c r="FLQ202" s="28"/>
      <c r="FLR202" s="28"/>
      <c r="FLS202" s="28"/>
      <c r="FLT202" s="28"/>
      <c r="FLU202" s="28"/>
      <c r="FLV202" s="28"/>
      <c r="FLW202" s="28"/>
      <c r="FLX202" s="28"/>
      <c r="FLY202" s="28"/>
      <c r="FLZ202" s="28"/>
      <c r="FMA202" s="28"/>
      <c r="FMB202" s="28"/>
      <c r="FMC202" s="28"/>
      <c r="FMD202" s="28"/>
      <c r="FME202" s="28"/>
      <c r="FMF202" s="28"/>
      <c r="FMG202" s="28"/>
      <c r="FMH202" s="28"/>
      <c r="FMI202" s="28"/>
      <c r="FMJ202" s="28"/>
      <c r="FMK202" s="28"/>
      <c r="FML202" s="28"/>
      <c r="FMM202" s="28"/>
      <c r="FMN202" s="28"/>
      <c r="FMO202" s="28"/>
      <c r="FMP202" s="28"/>
      <c r="FMQ202" s="28"/>
      <c r="FMR202" s="28"/>
      <c r="FMS202" s="28"/>
      <c r="FMT202" s="28"/>
      <c r="FMU202" s="28"/>
      <c r="FMV202" s="28"/>
      <c r="FMW202" s="28"/>
      <c r="FMX202" s="28"/>
      <c r="FMY202" s="28"/>
      <c r="FMZ202" s="28"/>
      <c r="FNA202" s="28"/>
      <c r="FNB202" s="28"/>
      <c r="FNC202" s="28"/>
      <c r="FND202" s="28"/>
      <c r="FNE202" s="28"/>
      <c r="FNF202" s="28"/>
      <c r="FNG202" s="28"/>
      <c r="FNH202" s="28"/>
      <c r="FNI202" s="28"/>
      <c r="FNJ202" s="28"/>
      <c r="FNK202" s="28"/>
      <c r="FNL202" s="28"/>
      <c r="FNM202" s="28"/>
      <c r="FNN202" s="28"/>
      <c r="FNO202" s="28"/>
      <c r="FNP202" s="28"/>
      <c r="FNQ202" s="28"/>
      <c r="FNR202" s="28"/>
      <c r="FNS202" s="28"/>
      <c r="FNT202" s="28"/>
      <c r="FNU202" s="28"/>
      <c r="FNV202" s="28"/>
      <c r="FNW202" s="28"/>
      <c r="FNX202" s="28"/>
      <c r="FNY202" s="28"/>
      <c r="FNZ202" s="28"/>
      <c r="FOA202" s="28"/>
      <c r="FOB202" s="28"/>
      <c r="FOC202" s="28"/>
      <c r="FOD202" s="28"/>
      <c r="FOE202" s="28"/>
      <c r="FOF202" s="28"/>
      <c r="FOG202" s="28"/>
      <c r="FOH202" s="28"/>
      <c r="FOI202" s="28"/>
      <c r="FOJ202" s="28"/>
      <c r="FOK202" s="28"/>
      <c r="FOL202" s="28"/>
      <c r="FOM202" s="28"/>
      <c r="FON202" s="28"/>
      <c r="FOO202" s="28"/>
      <c r="FOP202" s="28"/>
      <c r="FOQ202" s="28"/>
      <c r="FOR202" s="28"/>
      <c r="FOS202" s="28"/>
      <c r="FOT202" s="28"/>
      <c r="FOU202" s="28"/>
      <c r="FOV202" s="28"/>
      <c r="FOW202" s="28"/>
      <c r="FOX202" s="28"/>
      <c r="FOY202" s="28"/>
      <c r="FOZ202" s="28"/>
      <c r="FPA202" s="28"/>
      <c r="FPB202" s="28"/>
      <c r="FPC202" s="28"/>
      <c r="FPD202" s="28"/>
      <c r="FPE202" s="28"/>
      <c r="FPF202" s="28"/>
      <c r="FPG202" s="28"/>
      <c r="FPH202" s="28"/>
      <c r="FPI202" s="28"/>
      <c r="FPJ202" s="28"/>
      <c r="FPK202" s="28"/>
      <c r="FPL202" s="28"/>
      <c r="FPM202" s="28"/>
      <c r="FPN202" s="28"/>
      <c r="FPO202" s="28"/>
      <c r="FPP202" s="28"/>
      <c r="FPQ202" s="28"/>
      <c r="FPR202" s="28"/>
      <c r="FPS202" s="28"/>
      <c r="FPT202" s="28"/>
      <c r="FPU202" s="28"/>
      <c r="FPV202" s="28"/>
      <c r="FPW202" s="28"/>
      <c r="FPX202" s="28"/>
      <c r="FPY202" s="28"/>
      <c r="FPZ202" s="28"/>
      <c r="FQA202" s="28"/>
      <c r="FQB202" s="28"/>
      <c r="FQC202" s="28"/>
      <c r="FQD202" s="28"/>
      <c r="FQE202" s="28"/>
      <c r="FQF202" s="28"/>
      <c r="FQG202" s="28"/>
      <c r="FQH202" s="28"/>
      <c r="FQI202" s="28"/>
      <c r="FQJ202" s="28"/>
      <c r="FQK202" s="28"/>
      <c r="FQL202" s="28"/>
      <c r="FQM202" s="28"/>
      <c r="FQN202" s="28"/>
      <c r="FQO202" s="28"/>
      <c r="FQP202" s="28"/>
      <c r="FQQ202" s="28"/>
      <c r="FQR202" s="28"/>
      <c r="FQS202" s="28"/>
      <c r="FQT202" s="28"/>
      <c r="FQU202" s="28"/>
      <c r="FQV202" s="28"/>
      <c r="FQW202" s="28"/>
      <c r="FQX202" s="28"/>
      <c r="FQY202" s="28"/>
      <c r="FQZ202" s="28"/>
      <c r="FRA202" s="28"/>
      <c r="FRB202" s="28"/>
      <c r="FRC202" s="28"/>
      <c r="FRD202" s="28"/>
      <c r="FRE202" s="28"/>
      <c r="FRF202" s="28"/>
      <c r="FRG202" s="28"/>
      <c r="FRH202" s="28"/>
      <c r="FRI202" s="28"/>
      <c r="FRJ202" s="28"/>
      <c r="FRK202" s="28"/>
      <c r="FRL202" s="28"/>
      <c r="FRM202" s="28"/>
      <c r="FRN202" s="28"/>
      <c r="FRO202" s="28"/>
      <c r="FRP202" s="28"/>
      <c r="FRQ202" s="28"/>
      <c r="FRR202" s="28"/>
      <c r="FRS202" s="28"/>
      <c r="FRT202" s="28"/>
      <c r="FRU202" s="28"/>
      <c r="FRV202" s="28"/>
      <c r="FRW202" s="28"/>
      <c r="FRX202" s="28"/>
      <c r="FRY202" s="28"/>
      <c r="FRZ202" s="28"/>
      <c r="FSA202" s="28"/>
      <c r="FSB202" s="28"/>
      <c r="FSC202" s="28"/>
      <c r="FSD202" s="28"/>
      <c r="FSE202" s="28"/>
      <c r="FSF202" s="28"/>
      <c r="FSG202" s="28"/>
      <c r="FSH202" s="28"/>
      <c r="FSI202" s="28"/>
      <c r="FSJ202" s="28"/>
      <c r="FSK202" s="28"/>
      <c r="FSL202" s="28"/>
      <c r="FSM202" s="28"/>
      <c r="FSN202" s="28"/>
      <c r="FSO202" s="28"/>
      <c r="FSP202" s="28"/>
      <c r="FSQ202" s="28"/>
      <c r="FSR202" s="28"/>
      <c r="FSS202" s="28"/>
      <c r="FST202" s="28"/>
      <c r="FSU202" s="28"/>
      <c r="FSV202" s="28"/>
      <c r="FSW202" s="28"/>
      <c r="FSX202" s="28"/>
      <c r="FSY202" s="28"/>
      <c r="FSZ202" s="28"/>
      <c r="FTA202" s="28"/>
      <c r="FTB202" s="28"/>
      <c r="FTC202" s="28"/>
      <c r="FTD202" s="28"/>
      <c r="FTE202" s="28"/>
      <c r="FTF202" s="28"/>
      <c r="FTG202" s="28"/>
      <c r="FTH202" s="28"/>
      <c r="FTI202" s="28"/>
      <c r="FTJ202" s="28"/>
      <c r="FTK202" s="28"/>
      <c r="FTL202" s="28"/>
      <c r="FTM202" s="28"/>
      <c r="FTN202" s="28"/>
      <c r="FTO202" s="28"/>
      <c r="FTP202" s="28"/>
      <c r="FTQ202" s="28"/>
      <c r="FTR202" s="28"/>
      <c r="FTS202" s="28"/>
      <c r="FTT202" s="28"/>
      <c r="FTU202" s="28"/>
      <c r="FTV202" s="28"/>
      <c r="FTW202" s="28"/>
      <c r="FTX202" s="28"/>
      <c r="FTY202" s="28"/>
      <c r="FTZ202" s="28"/>
      <c r="FUA202" s="28"/>
      <c r="FUB202" s="28"/>
      <c r="FUC202" s="28"/>
      <c r="FUD202" s="28"/>
      <c r="FUE202" s="28"/>
      <c r="FUF202" s="28"/>
      <c r="FUG202" s="28"/>
      <c r="FUH202" s="28"/>
      <c r="FUI202" s="28"/>
      <c r="FUJ202" s="28"/>
      <c r="FUK202" s="28"/>
      <c r="FUL202" s="28"/>
      <c r="FUM202" s="28"/>
      <c r="FUN202" s="28"/>
      <c r="FUO202" s="28"/>
      <c r="FUP202" s="28"/>
      <c r="FUQ202" s="28"/>
      <c r="FUR202" s="28"/>
      <c r="FUS202" s="28"/>
      <c r="FUT202" s="28"/>
      <c r="FUU202" s="28"/>
      <c r="FUV202" s="28"/>
      <c r="FUW202" s="28"/>
      <c r="FUX202" s="28"/>
      <c r="FUY202" s="28"/>
      <c r="FUZ202" s="28"/>
      <c r="FVA202" s="28"/>
      <c r="FVB202" s="28"/>
      <c r="FVC202" s="28"/>
      <c r="FVD202" s="28"/>
      <c r="FVE202" s="28"/>
      <c r="FVF202" s="28"/>
      <c r="FVG202" s="28"/>
      <c r="FVH202" s="28"/>
      <c r="FVI202" s="28"/>
      <c r="FVJ202" s="28"/>
      <c r="FVK202" s="28"/>
      <c r="FVL202" s="28"/>
      <c r="FVM202" s="28"/>
      <c r="FVN202" s="28"/>
      <c r="FVO202" s="28"/>
      <c r="FVP202" s="28"/>
      <c r="FVQ202" s="28"/>
      <c r="FVR202" s="28"/>
      <c r="FVS202" s="28"/>
      <c r="FVT202" s="28"/>
      <c r="FVU202" s="28"/>
      <c r="FVV202" s="28"/>
      <c r="FVW202" s="28"/>
      <c r="FVX202" s="28"/>
      <c r="FVY202" s="28"/>
      <c r="FVZ202" s="28"/>
      <c r="FWA202" s="28"/>
      <c r="FWB202" s="28"/>
      <c r="FWC202" s="28"/>
      <c r="FWD202" s="28"/>
      <c r="FWE202" s="28"/>
      <c r="FWF202" s="28"/>
      <c r="FWG202" s="28"/>
      <c r="FWH202" s="28"/>
      <c r="FWI202" s="28"/>
      <c r="FWJ202" s="28"/>
      <c r="FWK202" s="28"/>
      <c r="FWL202" s="28"/>
      <c r="FWM202" s="28"/>
      <c r="FWN202" s="28"/>
      <c r="FWO202" s="28"/>
      <c r="FWP202" s="28"/>
      <c r="FWQ202" s="28"/>
      <c r="FWR202" s="28"/>
      <c r="FWS202" s="28"/>
      <c r="FWT202" s="28"/>
      <c r="FWU202" s="28"/>
      <c r="FWV202" s="28"/>
      <c r="FWW202" s="28"/>
      <c r="FWX202" s="28"/>
      <c r="FWY202" s="28"/>
      <c r="FWZ202" s="28"/>
      <c r="FXA202" s="28"/>
      <c r="FXB202" s="28"/>
      <c r="FXC202" s="28"/>
      <c r="FXD202" s="28"/>
      <c r="FXE202" s="28"/>
      <c r="FXF202" s="28"/>
      <c r="FXG202" s="28"/>
      <c r="FXH202" s="28"/>
      <c r="FXI202" s="28"/>
      <c r="FXJ202" s="28"/>
      <c r="FXK202" s="28"/>
      <c r="FXL202" s="28"/>
      <c r="FXM202" s="28"/>
      <c r="FXN202" s="28"/>
      <c r="FXO202" s="28"/>
      <c r="FXP202" s="28"/>
      <c r="FXQ202" s="28"/>
      <c r="FXR202" s="28"/>
      <c r="FXS202" s="28"/>
      <c r="FXT202" s="28"/>
      <c r="FXU202" s="28"/>
      <c r="FXV202" s="28"/>
      <c r="FXW202" s="28"/>
      <c r="FXX202" s="28"/>
      <c r="FXY202" s="28"/>
      <c r="FXZ202" s="28"/>
      <c r="FYA202" s="28"/>
      <c r="FYB202" s="28"/>
      <c r="FYC202" s="28"/>
      <c r="FYD202" s="28"/>
      <c r="FYE202" s="28"/>
      <c r="FYF202" s="28"/>
      <c r="FYG202" s="28"/>
      <c r="FYH202" s="28"/>
      <c r="FYI202" s="28"/>
      <c r="FYJ202" s="28"/>
      <c r="FYK202" s="28"/>
      <c r="FYL202" s="28"/>
      <c r="FYM202" s="28"/>
      <c r="FYN202" s="28"/>
      <c r="FYO202" s="28"/>
      <c r="FYP202" s="28"/>
      <c r="FYQ202" s="28"/>
      <c r="FYR202" s="28"/>
      <c r="FYS202" s="28"/>
      <c r="FYT202" s="28"/>
      <c r="FYU202" s="28"/>
      <c r="FYV202" s="28"/>
      <c r="FYW202" s="28"/>
      <c r="FYX202" s="28"/>
      <c r="FYY202" s="28"/>
      <c r="FYZ202" s="28"/>
      <c r="FZA202" s="28"/>
      <c r="FZB202" s="28"/>
      <c r="FZC202" s="28"/>
      <c r="FZD202" s="28"/>
      <c r="FZE202" s="28"/>
      <c r="FZF202" s="28"/>
      <c r="FZG202" s="28"/>
      <c r="FZH202" s="28"/>
      <c r="FZI202" s="28"/>
      <c r="FZJ202" s="28"/>
      <c r="FZK202" s="28"/>
      <c r="FZL202" s="28"/>
      <c r="FZM202" s="28"/>
      <c r="FZN202" s="28"/>
      <c r="FZO202" s="28"/>
      <c r="FZP202" s="28"/>
      <c r="FZQ202" s="28"/>
      <c r="FZR202" s="28"/>
      <c r="FZS202" s="28"/>
      <c r="FZT202" s="28"/>
      <c r="FZU202" s="28"/>
      <c r="FZV202" s="28"/>
      <c r="FZW202" s="28"/>
      <c r="FZX202" s="28"/>
      <c r="FZY202" s="28"/>
      <c r="FZZ202" s="28"/>
      <c r="GAA202" s="28"/>
      <c r="GAB202" s="28"/>
      <c r="GAC202" s="28"/>
      <c r="GAD202" s="28"/>
      <c r="GAE202" s="28"/>
      <c r="GAF202" s="28"/>
      <c r="GAG202" s="28"/>
      <c r="GAH202" s="28"/>
      <c r="GAI202" s="28"/>
      <c r="GAJ202" s="28"/>
      <c r="GAK202" s="28"/>
      <c r="GAL202" s="28"/>
      <c r="GAM202" s="28"/>
      <c r="GAN202" s="28"/>
      <c r="GAO202" s="28"/>
      <c r="GAP202" s="28"/>
      <c r="GAQ202" s="28"/>
      <c r="GAR202" s="28"/>
      <c r="GAS202" s="28"/>
      <c r="GAT202" s="28"/>
      <c r="GAU202" s="28"/>
      <c r="GAV202" s="28"/>
      <c r="GAW202" s="28"/>
      <c r="GAX202" s="28"/>
      <c r="GAY202" s="28"/>
      <c r="GAZ202" s="28"/>
      <c r="GBA202" s="28"/>
      <c r="GBB202" s="28"/>
      <c r="GBC202" s="28"/>
      <c r="GBD202" s="28"/>
      <c r="GBE202" s="28"/>
      <c r="GBF202" s="28"/>
      <c r="GBG202" s="28"/>
      <c r="GBH202" s="28"/>
      <c r="GBI202" s="28"/>
      <c r="GBJ202" s="28"/>
      <c r="GBK202" s="28"/>
      <c r="GBL202" s="28"/>
      <c r="GBM202" s="28"/>
      <c r="GBN202" s="28"/>
      <c r="GBO202" s="28"/>
      <c r="GBP202" s="28"/>
      <c r="GBQ202" s="28"/>
      <c r="GBR202" s="28"/>
      <c r="GBS202" s="28"/>
      <c r="GBT202" s="28"/>
      <c r="GBU202" s="28"/>
      <c r="GBV202" s="28"/>
      <c r="GBW202" s="28"/>
      <c r="GBX202" s="28"/>
      <c r="GBY202" s="28"/>
      <c r="GBZ202" s="28"/>
      <c r="GCA202" s="28"/>
      <c r="GCB202" s="28"/>
      <c r="GCC202" s="28"/>
      <c r="GCD202" s="28"/>
      <c r="GCE202" s="28"/>
      <c r="GCF202" s="28"/>
      <c r="GCG202" s="28"/>
      <c r="GCH202" s="28"/>
      <c r="GCI202" s="28"/>
      <c r="GCJ202" s="28"/>
      <c r="GCK202" s="28"/>
      <c r="GCL202" s="28"/>
      <c r="GCM202" s="28"/>
      <c r="GCN202" s="28"/>
      <c r="GCO202" s="28"/>
      <c r="GCP202" s="28"/>
      <c r="GCQ202" s="28"/>
      <c r="GCR202" s="28"/>
      <c r="GCS202" s="28"/>
      <c r="GCT202" s="28"/>
      <c r="GCU202" s="28"/>
      <c r="GCV202" s="28"/>
      <c r="GCW202" s="28"/>
      <c r="GCX202" s="28"/>
      <c r="GCY202" s="28"/>
      <c r="GCZ202" s="28"/>
      <c r="GDA202" s="28"/>
      <c r="GDB202" s="28"/>
      <c r="GDC202" s="28"/>
      <c r="GDD202" s="28"/>
      <c r="GDE202" s="28"/>
      <c r="GDF202" s="28"/>
      <c r="GDG202" s="28"/>
      <c r="GDH202" s="28"/>
      <c r="GDI202" s="28"/>
      <c r="GDJ202" s="28"/>
      <c r="GDK202" s="28"/>
      <c r="GDL202" s="28"/>
      <c r="GDM202" s="28"/>
      <c r="GDN202" s="28"/>
      <c r="GDO202" s="28"/>
      <c r="GDP202" s="28"/>
      <c r="GDQ202" s="28"/>
      <c r="GDR202" s="28"/>
      <c r="GDS202" s="28"/>
      <c r="GDT202" s="28"/>
      <c r="GDU202" s="28"/>
      <c r="GDV202" s="28"/>
      <c r="GDW202" s="28"/>
      <c r="GDX202" s="28"/>
      <c r="GDY202" s="28"/>
      <c r="GDZ202" s="28"/>
      <c r="GEA202" s="28"/>
      <c r="GEB202" s="28"/>
      <c r="GEC202" s="28"/>
      <c r="GED202" s="28"/>
      <c r="GEE202" s="28"/>
      <c r="GEF202" s="28"/>
      <c r="GEG202" s="28"/>
      <c r="GEH202" s="28"/>
      <c r="GEI202" s="28"/>
      <c r="GEJ202" s="28"/>
      <c r="GEK202" s="28"/>
      <c r="GEL202" s="28"/>
      <c r="GEM202" s="28"/>
      <c r="GEN202" s="28"/>
      <c r="GEO202" s="28"/>
      <c r="GEP202" s="28"/>
      <c r="GEQ202" s="28"/>
      <c r="GER202" s="28"/>
      <c r="GES202" s="28"/>
      <c r="GET202" s="28"/>
      <c r="GEU202" s="28"/>
      <c r="GEV202" s="28"/>
      <c r="GEW202" s="28"/>
      <c r="GEX202" s="28"/>
      <c r="GEY202" s="28"/>
      <c r="GEZ202" s="28"/>
      <c r="GFA202" s="28"/>
      <c r="GFB202" s="28"/>
      <c r="GFC202" s="28"/>
      <c r="GFD202" s="28"/>
      <c r="GFE202" s="28"/>
      <c r="GFF202" s="28"/>
      <c r="GFG202" s="28"/>
      <c r="GFH202" s="28"/>
      <c r="GFI202" s="28"/>
      <c r="GFJ202" s="28"/>
      <c r="GFK202" s="28"/>
      <c r="GFL202" s="28"/>
      <c r="GFM202" s="28"/>
      <c r="GFN202" s="28"/>
      <c r="GFO202" s="28"/>
      <c r="GFP202" s="28"/>
      <c r="GFQ202" s="28"/>
      <c r="GFR202" s="28"/>
      <c r="GFS202" s="28"/>
      <c r="GFT202" s="28"/>
      <c r="GFU202" s="28"/>
      <c r="GFV202" s="28"/>
      <c r="GFW202" s="28"/>
      <c r="GFX202" s="28"/>
      <c r="GFY202" s="28"/>
      <c r="GFZ202" s="28"/>
      <c r="GGA202" s="28"/>
      <c r="GGB202" s="28"/>
      <c r="GGC202" s="28"/>
      <c r="GGD202" s="28"/>
      <c r="GGE202" s="28"/>
      <c r="GGF202" s="28"/>
      <c r="GGG202" s="28"/>
      <c r="GGH202" s="28"/>
      <c r="GGI202" s="28"/>
      <c r="GGJ202" s="28"/>
      <c r="GGK202" s="28"/>
      <c r="GGL202" s="28"/>
      <c r="GGM202" s="28"/>
      <c r="GGN202" s="28"/>
      <c r="GGO202" s="28"/>
      <c r="GGP202" s="28"/>
      <c r="GGQ202" s="28"/>
      <c r="GGR202" s="28"/>
      <c r="GGS202" s="28"/>
      <c r="GGT202" s="28"/>
      <c r="GGU202" s="28"/>
      <c r="GGV202" s="28"/>
      <c r="GGW202" s="28"/>
      <c r="GGX202" s="28"/>
      <c r="GGY202" s="28"/>
      <c r="GGZ202" s="28"/>
      <c r="GHA202" s="28"/>
      <c r="GHB202" s="28"/>
      <c r="GHC202" s="28"/>
      <c r="GHD202" s="28"/>
      <c r="GHE202" s="28"/>
      <c r="GHF202" s="28"/>
      <c r="GHG202" s="28"/>
      <c r="GHH202" s="28"/>
      <c r="GHI202" s="28"/>
      <c r="GHJ202" s="28"/>
      <c r="GHK202" s="28"/>
      <c r="GHL202" s="28"/>
      <c r="GHM202" s="28"/>
      <c r="GHN202" s="28"/>
      <c r="GHO202" s="28"/>
      <c r="GHP202" s="28"/>
      <c r="GHQ202" s="28"/>
      <c r="GHR202" s="28"/>
      <c r="GHS202" s="28"/>
      <c r="GHT202" s="28"/>
      <c r="GHU202" s="28"/>
      <c r="GHV202" s="28"/>
      <c r="GHW202" s="28"/>
      <c r="GHX202" s="28"/>
      <c r="GHY202" s="28"/>
      <c r="GHZ202" s="28"/>
      <c r="GIA202" s="28"/>
      <c r="GIB202" s="28"/>
      <c r="GIC202" s="28"/>
      <c r="GID202" s="28"/>
      <c r="GIE202" s="28"/>
      <c r="GIF202" s="28"/>
      <c r="GIG202" s="28"/>
      <c r="GIH202" s="28"/>
      <c r="GII202" s="28"/>
      <c r="GIJ202" s="28"/>
      <c r="GIK202" s="28"/>
      <c r="GIL202" s="28"/>
      <c r="GIM202" s="28"/>
      <c r="GIN202" s="28"/>
      <c r="GIO202" s="28"/>
      <c r="GIP202" s="28"/>
      <c r="GIQ202" s="28"/>
      <c r="GIR202" s="28"/>
      <c r="GIS202" s="28"/>
      <c r="GIT202" s="28"/>
      <c r="GIU202" s="28"/>
      <c r="GIV202" s="28"/>
      <c r="GIW202" s="28"/>
      <c r="GIX202" s="28"/>
      <c r="GIY202" s="28"/>
      <c r="GIZ202" s="28"/>
      <c r="GJA202" s="28"/>
      <c r="GJB202" s="28"/>
      <c r="GJC202" s="28"/>
      <c r="GJD202" s="28"/>
      <c r="GJE202" s="28"/>
      <c r="GJF202" s="28"/>
      <c r="GJG202" s="28"/>
      <c r="GJH202" s="28"/>
      <c r="GJI202" s="28"/>
      <c r="GJJ202" s="28"/>
      <c r="GJK202" s="28"/>
      <c r="GJL202" s="28"/>
      <c r="GJM202" s="28"/>
      <c r="GJN202" s="28"/>
      <c r="GJO202" s="28"/>
      <c r="GJP202" s="28"/>
      <c r="GJQ202" s="28"/>
      <c r="GJR202" s="28"/>
      <c r="GJS202" s="28"/>
      <c r="GJT202" s="28"/>
      <c r="GJU202" s="28"/>
      <c r="GJV202" s="28"/>
      <c r="GJW202" s="28"/>
      <c r="GJX202" s="28"/>
      <c r="GJY202" s="28"/>
      <c r="GJZ202" s="28"/>
      <c r="GKA202" s="28"/>
      <c r="GKB202" s="28"/>
      <c r="GKC202" s="28"/>
      <c r="GKD202" s="28"/>
      <c r="GKE202" s="28"/>
      <c r="GKF202" s="28"/>
      <c r="GKG202" s="28"/>
      <c r="GKH202" s="28"/>
      <c r="GKI202" s="28"/>
      <c r="GKJ202" s="28"/>
      <c r="GKK202" s="28"/>
      <c r="GKL202" s="28"/>
      <c r="GKM202" s="28"/>
      <c r="GKN202" s="28"/>
      <c r="GKO202" s="28"/>
      <c r="GKP202" s="28"/>
      <c r="GKQ202" s="28"/>
      <c r="GKR202" s="28"/>
      <c r="GKS202" s="28"/>
      <c r="GKT202" s="28"/>
      <c r="GKU202" s="28"/>
      <c r="GKV202" s="28"/>
      <c r="GKW202" s="28"/>
      <c r="GKX202" s="28"/>
      <c r="GKY202" s="28"/>
      <c r="GKZ202" s="28"/>
      <c r="GLA202" s="28"/>
      <c r="GLB202" s="28"/>
      <c r="GLC202" s="28"/>
      <c r="GLD202" s="28"/>
      <c r="GLE202" s="28"/>
      <c r="GLF202" s="28"/>
      <c r="GLG202" s="28"/>
      <c r="GLH202" s="28"/>
      <c r="GLI202" s="28"/>
      <c r="GLJ202" s="28"/>
      <c r="GLK202" s="28"/>
    </row>
    <row r="203" spans="1:5055" s="35" customFormat="1">
      <c r="A203" s="78">
        <v>200</v>
      </c>
      <c r="B203" s="77" t="s">
        <v>174</v>
      </c>
      <c r="C203" s="33" t="s">
        <v>284</v>
      </c>
      <c r="D203" s="31" t="s">
        <v>178</v>
      </c>
      <c r="E203" s="7">
        <v>46206</v>
      </c>
      <c r="F203" s="11" t="s">
        <v>368</v>
      </c>
      <c r="G203" s="11" t="s">
        <v>367</v>
      </c>
      <c r="H203" s="4" t="s">
        <v>0</v>
      </c>
      <c r="I203" s="5">
        <v>4758</v>
      </c>
      <c r="J203" s="6" t="s">
        <v>45</v>
      </c>
      <c r="K203" s="2">
        <v>8000</v>
      </c>
      <c r="L203" s="2">
        <f t="shared" si="305"/>
        <v>7800</v>
      </c>
      <c r="M203" s="12">
        <f t="shared" si="306"/>
        <v>-200</v>
      </c>
      <c r="N203" s="21">
        <f t="shared" si="273"/>
        <v>0.97499999999999998</v>
      </c>
      <c r="O203" s="56">
        <f>E203+P203+1+4</f>
        <v>46231.830729492147</v>
      </c>
      <c r="P203" s="25">
        <f t="shared" si="307"/>
        <v>20.830729492146816</v>
      </c>
      <c r="Q203" s="51">
        <f t="shared" si="308"/>
        <v>374.4468</v>
      </c>
      <c r="R203"/>
      <c r="S203"/>
      <c r="T203" s="28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</row>
    <row r="204" spans="1:5055" s="40" customFormat="1">
      <c r="A204" s="78">
        <v>201</v>
      </c>
      <c r="B204" s="77" t="s">
        <v>174</v>
      </c>
      <c r="C204" s="33" t="s">
        <v>284</v>
      </c>
      <c r="D204" s="31" t="s">
        <v>178</v>
      </c>
      <c r="E204" s="7">
        <v>46203</v>
      </c>
      <c r="F204" s="11" t="s">
        <v>282</v>
      </c>
      <c r="G204" s="11" t="s">
        <v>281</v>
      </c>
      <c r="H204" s="4" t="s">
        <v>0</v>
      </c>
      <c r="I204" s="5">
        <v>4758</v>
      </c>
      <c r="J204" s="6" t="s">
        <v>52</v>
      </c>
      <c r="K204" s="2">
        <v>8000</v>
      </c>
      <c r="L204" s="2">
        <f t="shared" ref="L204" si="309">+K204*0.975</f>
        <v>7800</v>
      </c>
      <c r="M204" s="12">
        <f t="shared" ref="M204" si="310">+L204-K204</f>
        <v>-200</v>
      </c>
      <c r="N204" s="21">
        <f t="shared" ref="N204" si="311">+L204/K204</f>
        <v>0.97499999999999998</v>
      </c>
      <c r="O204" s="56">
        <f>E204+P204+1+3</f>
        <v>46227.830729492147</v>
      </c>
      <c r="P204" s="25">
        <f t="shared" ref="P204" si="312">+L204/Q204</f>
        <v>20.830729492146816</v>
      </c>
      <c r="Q204" s="51">
        <f>630*40/60*0.975*0.9144</f>
        <v>374.4468</v>
      </c>
      <c r="R204" s="28"/>
      <c r="S204" s="28"/>
      <c r="T204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</row>
    <row r="205" spans="1:5055" s="38" customFormat="1">
      <c r="A205" s="78">
        <v>202</v>
      </c>
      <c r="B205" s="77" t="s">
        <v>174</v>
      </c>
      <c r="C205" s="33" t="s">
        <v>284</v>
      </c>
      <c r="D205" s="31" t="s">
        <v>178</v>
      </c>
      <c r="E205" s="7">
        <v>46200</v>
      </c>
      <c r="F205" s="11" t="s">
        <v>282</v>
      </c>
      <c r="G205" s="11" t="s">
        <v>281</v>
      </c>
      <c r="H205" s="4" t="s">
        <v>0</v>
      </c>
      <c r="I205" s="5">
        <v>4758</v>
      </c>
      <c r="J205" s="6" t="s">
        <v>146</v>
      </c>
      <c r="K205" s="2">
        <v>8000</v>
      </c>
      <c r="L205" s="2">
        <f t="shared" ref="L205" si="313">+K205*0.975</f>
        <v>7800</v>
      </c>
      <c r="M205" s="12">
        <f t="shared" ref="M205" si="314">+L205-K205</f>
        <v>-200</v>
      </c>
      <c r="N205" s="21">
        <f t="shared" si="273"/>
        <v>0.97499999999999998</v>
      </c>
      <c r="O205" s="56">
        <f>E205+P205+1+4</f>
        <v>46225.830729492147</v>
      </c>
      <c r="P205" s="25">
        <f t="shared" ref="P205" si="315">+L205/Q205</f>
        <v>20.830729492146816</v>
      </c>
      <c r="Q205" s="51">
        <f t="shared" ref="Q205" si="316">630*40/60*0.975*0.9144</f>
        <v>374.4468</v>
      </c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</row>
    <row r="206" spans="1:5055" s="41" customFormat="1" ht="15.75" thickBot="1">
      <c r="A206" s="78">
        <v>203</v>
      </c>
      <c r="B206" s="81" t="s">
        <v>161</v>
      </c>
      <c r="C206" s="3">
        <v>66.5</v>
      </c>
      <c r="D206" s="31" t="s">
        <v>178</v>
      </c>
      <c r="E206" s="7">
        <v>46184</v>
      </c>
      <c r="F206" s="4" t="s">
        <v>297</v>
      </c>
      <c r="G206" s="4" t="s">
        <v>296</v>
      </c>
      <c r="H206" s="4" t="s">
        <v>231</v>
      </c>
      <c r="I206" s="5">
        <v>9318</v>
      </c>
      <c r="J206" s="36" t="s">
        <v>17</v>
      </c>
      <c r="K206" s="2">
        <v>5180</v>
      </c>
      <c r="L206" s="2">
        <f>K206*0.95</f>
        <v>4921</v>
      </c>
      <c r="M206" s="2">
        <f>L206-K206</f>
        <v>-259</v>
      </c>
      <c r="N206" s="22">
        <f>+L206/K206</f>
        <v>0.95</v>
      </c>
      <c r="O206" s="8">
        <f>+E206+P206+1+3+17</f>
        <v>46222.956421930823</v>
      </c>
      <c r="P206" s="39">
        <f>L206/Q206</f>
        <v>17.956421930819847</v>
      </c>
      <c r="Q206" s="27">
        <f>640*40/82*0.96*0.9144</f>
        <v>274.0523707317073</v>
      </c>
      <c r="R206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42"/>
      <c r="DY206" s="42"/>
      <c r="DZ206" s="42"/>
      <c r="EA206" s="42"/>
      <c r="EB206" s="42"/>
      <c r="EC206" s="42"/>
      <c r="ED206" s="42"/>
      <c r="EE206" s="42"/>
      <c r="EF206" s="42"/>
      <c r="EG206" s="42"/>
    </row>
    <row r="207" spans="1:5055" s="38" customFormat="1">
      <c r="A207" s="78">
        <v>204</v>
      </c>
      <c r="B207" s="77" t="s">
        <v>174</v>
      </c>
      <c r="C207" s="33" t="s">
        <v>284</v>
      </c>
      <c r="D207" s="31" t="s">
        <v>178</v>
      </c>
      <c r="E207" s="7">
        <v>46203</v>
      </c>
      <c r="F207" s="11" t="s">
        <v>282</v>
      </c>
      <c r="G207" s="11" t="s">
        <v>281</v>
      </c>
      <c r="H207" s="4" t="s">
        <v>0</v>
      </c>
      <c r="I207" s="5">
        <v>4758</v>
      </c>
      <c r="J207" s="6" t="s">
        <v>57</v>
      </c>
      <c r="K207" s="2">
        <v>8000</v>
      </c>
      <c r="L207" s="2">
        <f t="shared" ref="L207" si="317">+K207*0.975</f>
        <v>7800</v>
      </c>
      <c r="M207" s="12">
        <f t="shared" ref="M207" si="318">+L207-K207</f>
        <v>-200</v>
      </c>
      <c r="N207" s="21">
        <f t="shared" ref="N207" si="319">+L207/K207</f>
        <v>0.97499999999999998</v>
      </c>
      <c r="O207" s="56">
        <f>E207+P207+1+3</f>
        <v>46227.830729492147</v>
      </c>
      <c r="P207" s="25">
        <f t="shared" ref="P207" si="320">+L207/Q207</f>
        <v>20.830729492146816</v>
      </c>
      <c r="Q207" s="51">
        <f>630*40/60*0.975*0.9144</f>
        <v>374.4468</v>
      </c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  <c r="FS207" s="28"/>
      <c r="FT207" s="28"/>
      <c r="FU207" s="28"/>
      <c r="FV207" s="28"/>
      <c r="FW207" s="28"/>
      <c r="FX207" s="28"/>
      <c r="FY207" s="28"/>
      <c r="FZ207" s="28"/>
      <c r="GA207" s="28"/>
      <c r="GB207" s="28"/>
      <c r="GC207" s="28"/>
      <c r="GD207" s="28"/>
      <c r="GE207" s="28"/>
      <c r="GF207" s="28"/>
      <c r="GG207" s="28"/>
      <c r="GH207" s="28"/>
      <c r="GI207" s="28"/>
      <c r="GJ207" s="28"/>
      <c r="GK207" s="28"/>
      <c r="GL207" s="28"/>
      <c r="GM207" s="28"/>
      <c r="GN207" s="28"/>
      <c r="GO207" s="28"/>
      <c r="GP207" s="28"/>
      <c r="GQ207" s="28"/>
      <c r="GR207" s="28"/>
      <c r="GS207" s="28"/>
      <c r="GT207" s="28"/>
      <c r="GU207" s="28"/>
      <c r="GV207" s="28"/>
      <c r="GW207" s="28"/>
      <c r="GX207" s="28"/>
      <c r="GY207" s="28"/>
      <c r="GZ207" s="28"/>
      <c r="HA207" s="28"/>
      <c r="HB207" s="28"/>
      <c r="HC207" s="28"/>
      <c r="HD207" s="28"/>
      <c r="HE207" s="28"/>
      <c r="HF207" s="28"/>
      <c r="HG207" s="28"/>
      <c r="HH207" s="28"/>
      <c r="HI207" s="28"/>
      <c r="HJ207" s="28"/>
      <c r="HK207" s="28"/>
      <c r="HL207" s="28"/>
      <c r="HM207" s="28"/>
      <c r="HN207" s="28"/>
      <c r="HO207" s="28"/>
      <c r="HP207" s="28"/>
      <c r="HQ207" s="28"/>
      <c r="HR207" s="28"/>
      <c r="HS207" s="28"/>
      <c r="HT207" s="28"/>
      <c r="HU207" s="28"/>
      <c r="HV207" s="28"/>
      <c r="HW207" s="28"/>
      <c r="HX207" s="28"/>
      <c r="HY207" s="28"/>
      <c r="HZ207" s="28"/>
      <c r="IA207" s="28"/>
      <c r="IB207" s="28"/>
      <c r="IC207" s="28"/>
      <c r="ID207" s="28"/>
      <c r="IE207" s="28"/>
      <c r="IF207" s="28"/>
      <c r="IG207" s="28"/>
      <c r="IH207" s="28"/>
      <c r="II207" s="28"/>
      <c r="IJ207" s="28"/>
      <c r="IK207" s="28"/>
      <c r="IL207" s="28"/>
      <c r="IM207" s="28"/>
      <c r="IN207" s="28"/>
      <c r="IO207" s="28"/>
      <c r="IP207" s="28"/>
      <c r="IQ207" s="28"/>
      <c r="IR207" s="28"/>
      <c r="IS207" s="28"/>
      <c r="IT207" s="28"/>
      <c r="IU207" s="28"/>
      <c r="IV207" s="28"/>
      <c r="IW207" s="28"/>
      <c r="IX207" s="28"/>
      <c r="IY207" s="28"/>
      <c r="IZ207" s="28"/>
      <c r="JA207" s="28"/>
      <c r="JB207" s="28"/>
      <c r="JC207" s="28"/>
      <c r="JD207" s="28"/>
      <c r="JE207" s="28"/>
      <c r="JF207" s="28"/>
      <c r="JG207" s="28"/>
      <c r="JH207" s="28"/>
      <c r="JI207" s="28"/>
      <c r="JJ207" s="28"/>
      <c r="JK207" s="28"/>
      <c r="JL207" s="28"/>
      <c r="JM207" s="28"/>
      <c r="JN207" s="28"/>
      <c r="JO207" s="28"/>
      <c r="JP207" s="28"/>
      <c r="JQ207" s="28"/>
      <c r="JR207" s="28"/>
      <c r="JS207" s="28"/>
      <c r="JT207" s="28"/>
      <c r="JU207" s="28"/>
      <c r="JV207" s="28"/>
      <c r="JW207" s="28"/>
      <c r="JX207" s="28"/>
      <c r="JY207" s="28"/>
      <c r="JZ207" s="28"/>
      <c r="KA207" s="28"/>
      <c r="KB207" s="28"/>
      <c r="KC207" s="28"/>
      <c r="KD207" s="28"/>
      <c r="KE207" s="28"/>
      <c r="KF207" s="28"/>
      <c r="KG207" s="28"/>
      <c r="KH207" s="28"/>
      <c r="KI207" s="28"/>
      <c r="KJ207" s="28"/>
      <c r="KK207" s="28"/>
      <c r="KL207" s="28"/>
      <c r="KM207" s="28"/>
      <c r="KN207" s="28"/>
      <c r="KO207" s="28"/>
      <c r="KP207" s="28"/>
      <c r="KQ207" s="28"/>
      <c r="KR207" s="28"/>
      <c r="KS207" s="28"/>
      <c r="KT207" s="28"/>
      <c r="KU207" s="28"/>
      <c r="KV207" s="28"/>
      <c r="KW207" s="28"/>
      <c r="KX207" s="28"/>
      <c r="KY207" s="28"/>
      <c r="KZ207" s="28"/>
      <c r="LA207" s="28"/>
      <c r="LB207" s="28"/>
      <c r="LC207" s="28"/>
      <c r="LD207" s="28"/>
      <c r="LE207" s="28"/>
      <c r="LF207" s="28"/>
      <c r="LG207" s="28"/>
      <c r="LH207" s="28"/>
      <c r="LI207" s="28"/>
      <c r="LJ207" s="28"/>
      <c r="LK207" s="28"/>
      <c r="LL207" s="28"/>
      <c r="LM207" s="28"/>
      <c r="LN207" s="28"/>
      <c r="LO207" s="28"/>
      <c r="LP207" s="28"/>
      <c r="LQ207" s="28"/>
      <c r="LR207" s="28"/>
      <c r="LS207" s="28"/>
      <c r="LT207" s="28"/>
      <c r="LU207" s="28"/>
      <c r="LV207" s="28"/>
      <c r="LW207" s="28"/>
      <c r="LX207" s="28"/>
      <c r="LY207" s="28"/>
      <c r="LZ207" s="28"/>
      <c r="MA207" s="28"/>
      <c r="MB207" s="28"/>
      <c r="MC207" s="28"/>
      <c r="MD207" s="28"/>
      <c r="ME207" s="28"/>
      <c r="MF207" s="28"/>
      <c r="MG207" s="28"/>
      <c r="MH207" s="28"/>
      <c r="MI207" s="28"/>
      <c r="MJ207" s="28"/>
      <c r="MK207" s="28"/>
      <c r="ML207" s="28"/>
      <c r="MM207" s="28"/>
      <c r="MN207" s="28"/>
      <c r="MO207" s="28"/>
      <c r="MP207" s="28"/>
      <c r="MQ207" s="28"/>
      <c r="MR207" s="28"/>
      <c r="MS207" s="28"/>
      <c r="MT207" s="28"/>
      <c r="MU207" s="28"/>
      <c r="MV207" s="28"/>
      <c r="MW207" s="28"/>
      <c r="MX207" s="28"/>
      <c r="MY207" s="28"/>
      <c r="MZ207" s="28"/>
      <c r="NA207" s="28"/>
      <c r="NB207" s="28"/>
      <c r="NC207" s="28"/>
      <c r="ND207" s="28"/>
      <c r="NE207" s="28"/>
      <c r="NF207" s="28"/>
      <c r="NG207" s="28"/>
      <c r="NH207" s="28"/>
      <c r="NI207" s="28"/>
      <c r="NJ207" s="28"/>
      <c r="NK207" s="28"/>
      <c r="NL207" s="28"/>
      <c r="NM207" s="28"/>
      <c r="NN207" s="28"/>
      <c r="NO207" s="28"/>
      <c r="NP207" s="28"/>
      <c r="NQ207" s="28"/>
      <c r="NR207" s="28"/>
      <c r="NS207" s="28"/>
      <c r="NT207" s="28"/>
      <c r="NU207" s="28"/>
      <c r="NV207" s="28"/>
      <c r="NW207" s="28"/>
      <c r="NX207" s="28"/>
      <c r="NY207" s="28"/>
      <c r="NZ207" s="28"/>
      <c r="OA207" s="28"/>
      <c r="OB207" s="28"/>
      <c r="OC207" s="28"/>
      <c r="OD207" s="28"/>
      <c r="OE207" s="28"/>
      <c r="OF207" s="28"/>
      <c r="OG207" s="28"/>
      <c r="OH207" s="28"/>
      <c r="OI207" s="28"/>
      <c r="OJ207" s="28"/>
      <c r="OK207" s="28"/>
      <c r="OL207" s="28"/>
      <c r="OM207" s="28"/>
      <c r="ON207" s="28"/>
      <c r="OO207" s="28"/>
      <c r="OP207" s="28"/>
      <c r="OQ207" s="28"/>
      <c r="OR207" s="28"/>
      <c r="OS207" s="28"/>
      <c r="OT207" s="28"/>
      <c r="OU207" s="28"/>
      <c r="OV207" s="28"/>
      <c r="OW207" s="28"/>
      <c r="OX207" s="28"/>
      <c r="OY207" s="28"/>
      <c r="OZ207" s="28"/>
      <c r="PA207" s="28"/>
      <c r="PB207" s="28"/>
      <c r="PC207" s="28"/>
      <c r="PD207" s="28"/>
      <c r="PE207" s="28"/>
      <c r="PF207" s="28"/>
      <c r="PG207" s="28"/>
      <c r="PH207" s="28"/>
      <c r="PI207" s="28"/>
      <c r="PJ207" s="28"/>
      <c r="PK207" s="28"/>
      <c r="PL207" s="28"/>
      <c r="PM207" s="28"/>
      <c r="PN207" s="28"/>
      <c r="PO207" s="28"/>
      <c r="PP207" s="28"/>
      <c r="PQ207" s="28"/>
      <c r="PR207" s="28"/>
      <c r="PS207" s="28"/>
      <c r="PT207" s="28"/>
      <c r="PU207" s="28"/>
      <c r="PV207" s="28"/>
      <c r="PW207" s="28"/>
      <c r="PX207" s="28"/>
      <c r="PY207" s="28"/>
      <c r="PZ207" s="28"/>
      <c r="QA207" s="28"/>
      <c r="QB207" s="28"/>
      <c r="QC207" s="28"/>
      <c r="QD207" s="28"/>
      <c r="QE207" s="28"/>
      <c r="QF207" s="28"/>
      <c r="QG207" s="28"/>
      <c r="QH207" s="28"/>
      <c r="QI207" s="28"/>
      <c r="QJ207" s="28"/>
      <c r="QK207" s="28"/>
      <c r="QL207" s="28"/>
      <c r="QM207" s="28"/>
      <c r="QN207" s="28"/>
      <c r="QO207" s="28"/>
      <c r="QP207" s="28"/>
      <c r="QQ207" s="28"/>
      <c r="QR207" s="28"/>
      <c r="QS207" s="28"/>
      <c r="QT207" s="28"/>
      <c r="QU207" s="28"/>
      <c r="QV207" s="28"/>
      <c r="QW207" s="28"/>
      <c r="QX207" s="28"/>
      <c r="QY207" s="28"/>
      <c r="QZ207" s="28"/>
      <c r="RA207" s="28"/>
      <c r="RB207" s="28"/>
      <c r="RC207" s="28"/>
      <c r="RD207" s="28"/>
      <c r="RE207" s="28"/>
      <c r="RF207" s="28"/>
      <c r="RG207" s="28"/>
      <c r="RH207" s="28"/>
      <c r="RI207" s="28"/>
      <c r="RJ207" s="28"/>
      <c r="RK207" s="28"/>
      <c r="RL207" s="28"/>
      <c r="RM207" s="28"/>
      <c r="RN207" s="28"/>
      <c r="RO207" s="28"/>
      <c r="RP207" s="28"/>
      <c r="RQ207" s="28"/>
      <c r="RR207" s="28"/>
      <c r="RS207" s="28"/>
      <c r="RT207" s="28"/>
      <c r="RU207" s="28"/>
      <c r="RV207" s="28"/>
      <c r="RW207" s="28"/>
      <c r="RX207" s="28"/>
      <c r="RY207" s="28"/>
      <c r="RZ207" s="28"/>
      <c r="SA207" s="28"/>
      <c r="SB207" s="28"/>
      <c r="SC207" s="28"/>
      <c r="SD207" s="28"/>
      <c r="SE207" s="28"/>
      <c r="SF207" s="28"/>
      <c r="SG207" s="28"/>
      <c r="SH207" s="28"/>
      <c r="SI207" s="28"/>
      <c r="SJ207" s="28"/>
      <c r="SK207" s="28"/>
      <c r="SL207" s="28"/>
      <c r="SM207" s="28"/>
      <c r="SN207" s="28"/>
      <c r="SO207" s="28"/>
      <c r="SP207" s="28"/>
      <c r="SQ207" s="28"/>
      <c r="SR207" s="28"/>
      <c r="SS207" s="28"/>
      <c r="ST207" s="28"/>
      <c r="SU207" s="28"/>
      <c r="SV207" s="28"/>
      <c r="SW207" s="28"/>
      <c r="SX207" s="28"/>
      <c r="SY207" s="28"/>
      <c r="SZ207" s="28"/>
      <c r="TA207" s="28"/>
      <c r="TB207" s="28"/>
      <c r="TC207" s="28"/>
      <c r="TD207" s="28"/>
      <c r="TE207" s="28"/>
      <c r="TF207" s="28"/>
      <c r="TG207" s="28"/>
      <c r="TH207" s="28"/>
      <c r="TI207" s="28"/>
      <c r="TJ207" s="28"/>
      <c r="TK207" s="28"/>
      <c r="TL207" s="28"/>
      <c r="TM207" s="28"/>
      <c r="TN207" s="28"/>
      <c r="TO207" s="28"/>
      <c r="TP207" s="28"/>
      <c r="TQ207" s="28"/>
      <c r="TR207" s="28"/>
      <c r="TS207" s="28"/>
      <c r="TT207" s="28"/>
      <c r="TU207" s="28"/>
      <c r="TV207" s="28"/>
      <c r="TW207" s="28"/>
      <c r="TX207" s="28"/>
      <c r="TY207" s="28"/>
      <c r="TZ207" s="28"/>
      <c r="UA207" s="28"/>
      <c r="UB207" s="28"/>
      <c r="UC207" s="28"/>
      <c r="UD207" s="28"/>
      <c r="UE207" s="28"/>
      <c r="UF207" s="28"/>
      <c r="UG207" s="28"/>
      <c r="UH207" s="28"/>
      <c r="UI207" s="28"/>
      <c r="UJ207" s="28"/>
      <c r="UK207" s="28"/>
      <c r="UL207" s="28"/>
      <c r="UM207" s="28"/>
      <c r="UN207" s="28"/>
      <c r="UO207" s="28"/>
      <c r="UP207" s="28"/>
      <c r="UQ207" s="28"/>
      <c r="UR207" s="28"/>
      <c r="US207" s="28"/>
      <c r="UT207" s="28"/>
      <c r="UU207" s="28"/>
      <c r="UV207" s="28"/>
      <c r="UW207" s="28"/>
      <c r="UX207" s="28"/>
      <c r="UY207" s="28"/>
      <c r="UZ207" s="28"/>
      <c r="VA207" s="28"/>
      <c r="VB207" s="28"/>
      <c r="VC207" s="28"/>
      <c r="VD207" s="28"/>
      <c r="VE207" s="28"/>
      <c r="VF207" s="28"/>
      <c r="VG207" s="28"/>
      <c r="VH207" s="28"/>
      <c r="VI207" s="28"/>
      <c r="VJ207" s="28"/>
      <c r="VK207" s="28"/>
      <c r="VL207" s="28"/>
      <c r="VM207" s="28"/>
      <c r="VN207" s="28"/>
      <c r="VO207" s="28"/>
      <c r="VP207" s="28"/>
      <c r="VQ207" s="28"/>
      <c r="VR207" s="28"/>
      <c r="VS207" s="28"/>
      <c r="VT207" s="28"/>
      <c r="VU207" s="28"/>
      <c r="VV207" s="28"/>
      <c r="VW207" s="28"/>
      <c r="VX207" s="28"/>
      <c r="VY207" s="28"/>
      <c r="VZ207" s="28"/>
      <c r="WA207" s="28"/>
      <c r="WB207" s="28"/>
      <c r="WC207" s="28"/>
      <c r="WD207" s="28"/>
      <c r="WE207" s="28"/>
      <c r="WF207" s="28"/>
      <c r="WG207" s="28"/>
      <c r="WH207" s="28"/>
      <c r="WI207" s="28"/>
      <c r="WJ207" s="28"/>
      <c r="WK207" s="28"/>
      <c r="WL207" s="28"/>
      <c r="WM207" s="28"/>
      <c r="WN207" s="28"/>
      <c r="WO207" s="28"/>
      <c r="WP207" s="28"/>
      <c r="WQ207" s="28"/>
      <c r="WR207" s="28"/>
      <c r="WS207" s="28"/>
      <c r="WT207" s="28"/>
      <c r="WU207" s="28"/>
      <c r="WV207" s="28"/>
      <c r="WW207" s="28"/>
      <c r="WX207" s="28"/>
      <c r="WY207" s="28"/>
      <c r="WZ207" s="28"/>
      <c r="XA207" s="28"/>
      <c r="XB207" s="28"/>
      <c r="XC207" s="28"/>
      <c r="XD207" s="28"/>
      <c r="XE207" s="28"/>
      <c r="XF207" s="28"/>
      <c r="XG207" s="28"/>
      <c r="XH207" s="28"/>
      <c r="XI207" s="28"/>
      <c r="XJ207" s="28"/>
      <c r="XK207" s="28"/>
      <c r="XL207" s="28"/>
      <c r="XM207" s="28"/>
      <c r="XN207" s="28"/>
      <c r="XO207" s="28"/>
      <c r="XP207" s="28"/>
      <c r="XQ207" s="28"/>
      <c r="XR207" s="28"/>
      <c r="XS207" s="28"/>
      <c r="XT207" s="28"/>
      <c r="XU207" s="28"/>
      <c r="XV207" s="28"/>
      <c r="XW207" s="28"/>
      <c r="XX207" s="28"/>
      <c r="XY207" s="28"/>
      <c r="XZ207" s="28"/>
      <c r="YA207" s="28"/>
      <c r="YB207" s="28"/>
      <c r="YC207" s="28"/>
      <c r="YD207" s="28"/>
      <c r="YE207" s="28"/>
      <c r="YF207" s="28"/>
      <c r="YG207" s="28"/>
      <c r="YH207" s="28"/>
      <c r="YI207" s="28"/>
      <c r="YJ207" s="28"/>
      <c r="YK207" s="28"/>
      <c r="YL207" s="28"/>
      <c r="YM207" s="28"/>
      <c r="YN207" s="28"/>
      <c r="YO207" s="28"/>
      <c r="YP207" s="28"/>
      <c r="YQ207" s="28"/>
      <c r="YR207" s="28"/>
      <c r="YS207" s="28"/>
      <c r="YT207" s="28"/>
      <c r="YU207" s="28"/>
      <c r="YV207" s="28"/>
      <c r="YW207" s="28"/>
      <c r="YX207" s="28"/>
      <c r="YY207" s="28"/>
      <c r="YZ207" s="28"/>
      <c r="ZA207" s="28"/>
      <c r="ZB207" s="28"/>
      <c r="ZC207" s="28"/>
      <c r="ZD207" s="28"/>
      <c r="ZE207" s="28"/>
      <c r="ZF207" s="28"/>
      <c r="ZG207" s="28"/>
      <c r="ZH207" s="28"/>
      <c r="ZI207" s="28"/>
      <c r="ZJ207" s="28"/>
      <c r="ZK207" s="28"/>
      <c r="ZL207" s="28"/>
      <c r="ZM207" s="28"/>
      <c r="ZN207" s="28"/>
      <c r="ZO207" s="28"/>
      <c r="ZP207" s="28"/>
      <c r="ZQ207" s="28"/>
      <c r="ZR207" s="28"/>
      <c r="ZS207" s="28"/>
      <c r="ZT207" s="28"/>
      <c r="ZU207" s="28"/>
      <c r="ZV207" s="28"/>
      <c r="ZW207" s="28"/>
      <c r="ZX207" s="28"/>
      <c r="ZY207" s="28"/>
      <c r="ZZ207" s="28"/>
      <c r="AAA207" s="28"/>
      <c r="AAB207" s="28"/>
      <c r="AAC207" s="28"/>
      <c r="AAD207" s="28"/>
      <c r="AAE207" s="28"/>
      <c r="AAF207" s="28"/>
      <c r="AAG207" s="28"/>
      <c r="AAH207" s="28"/>
      <c r="AAI207" s="28"/>
      <c r="AAJ207" s="28"/>
      <c r="AAK207" s="28"/>
      <c r="AAL207" s="28"/>
      <c r="AAM207" s="28"/>
      <c r="AAN207" s="28"/>
      <c r="AAO207" s="28"/>
      <c r="AAP207" s="28"/>
      <c r="AAQ207" s="28"/>
      <c r="AAR207" s="28"/>
      <c r="AAS207" s="28"/>
      <c r="AAT207" s="28"/>
      <c r="AAU207" s="28"/>
      <c r="AAV207" s="28"/>
      <c r="AAW207" s="28"/>
      <c r="AAX207" s="28"/>
      <c r="AAY207" s="28"/>
      <c r="AAZ207" s="28"/>
      <c r="ABA207" s="28"/>
      <c r="ABB207" s="28"/>
      <c r="ABC207" s="28"/>
      <c r="ABD207" s="28"/>
      <c r="ABE207" s="28"/>
      <c r="ABF207" s="28"/>
      <c r="ABG207" s="28"/>
      <c r="ABH207" s="28"/>
      <c r="ABI207" s="28"/>
      <c r="ABJ207" s="28"/>
      <c r="ABK207" s="28"/>
      <c r="ABL207" s="28"/>
      <c r="ABM207" s="28"/>
      <c r="ABN207" s="28"/>
      <c r="ABO207" s="28"/>
      <c r="ABP207" s="28"/>
      <c r="ABQ207" s="28"/>
      <c r="ABR207" s="28"/>
      <c r="ABS207" s="28"/>
      <c r="ABT207" s="28"/>
      <c r="ABU207" s="28"/>
      <c r="ABV207" s="28"/>
      <c r="ABW207" s="28"/>
      <c r="ABX207" s="28"/>
      <c r="ABY207" s="28"/>
      <c r="ABZ207" s="28"/>
      <c r="ACA207" s="28"/>
      <c r="ACB207" s="28"/>
      <c r="ACC207" s="28"/>
      <c r="ACD207" s="28"/>
      <c r="ACE207" s="28"/>
      <c r="ACF207" s="28"/>
      <c r="ACG207" s="28"/>
      <c r="ACH207" s="28"/>
      <c r="ACI207" s="28"/>
      <c r="ACJ207" s="28"/>
      <c r="ACK207" s="28"/>
      <c r="ACL207" s="28"/>
      <c r="ACM207" s="28"/>
      <c r="ACN207" s="28"/>
      <c r="ACO207" s="28"/>
      <c r="ACP207" s="28"/>
      <c r="ACQ207" s="28"/>
      <c r="ACR207" s="28"/>
      <c r="ACS207" s="28"/>
      <c r="ACT207" s="28"/>
      <c r="ACU207" s="28"/>
      <c r="ACV207" s="28"/>
      <c r="ACW207" s="28"/>
      <c r="ACX207" s="28"/>
      <c r="ACY207" s="28"/>
      <c r="ACZ207" s="28"/>
      <c r="ADA207" s="28"/>
      <c r="ADB207" s="28"/>
      <c r="ADC207" s="28"/>
      <c r="ADD207" s="28"/>
      <c r="ADE207" s="28"/>
      <c r="ADF207" s="28"/>
      <c r="ADG207" s="28"/>
      <c r="ADH207" s="28"/>
      <c r="ADI207" s="28"/>
      <c r="ADJ207" s="28"/>
      <c r="ADK207" s="28"/>
      <c r="ADL207" s="28"/>
      <c r="ADM207" s="28"/>
      <c r="ADN207" s="28"/>
      <c r="ADO207" s="28"/>
      <c r="ADP207" s="28"/>
      <c r="ADQ207" s="28"/>
      <c r="ADR207" s="28"/>
      <c r="ADS207" s="28"/>
      <c r="ADT207" s="28"/>
      <c r="ADU207" s="28"/>
      <c r="ADV207" s="28"/>
      <c r="ADW207" s="28"/>
      <c r="ADX207" s="28"/>
      <c r="ADY207" s="28"/>
      <c r="ADZ207" s="28"/>
      <c r="AEA207" s="28"/>
      <c r="AEB207" s="28"/>
      <c r="AEC207" s="28"/>
      <c r="AED207" s="28"/>
      <c r="AEE207" s="28"/>
      <c r="AEF207" s="28"/>
      <c r="AEG207" s="28"/>
      <c r="AEH207" s="28"/>
      <c r="AEI207" s="28"/>
      <c r="AEJ207" s="28"/>
      <c r="AEK207" s="28"/>
      <c r="AEL207" s="28"/>
      <c r="AEM207" s="28"/>
      <c r="AEN207" s="28"/>
      <c r="AEO207" s="28"/>
      <c r="AEP207" s="28"/>
      <c r="AEQ207" s="28"/>
      <c r="AER207" s="28"/>
      <c r="AES207" s="28"/>
      <c r="AET207" s="28"/>
      <c r="AEU207" s="28"/>
      <c r="AEV207" s="28"/>
      <c r="AEW207" s="28"/>
      <c r="AEX207" s="28"/>
      <c r="AEY207" s="28"/>
      <c r="AEZ207" s="28"/>
      <c r="AFA207" s="28"/>
      <c r="AFB207" s="28"/>
      <c r="AFC207" s="28"/>
      <c r="AFD207" s="28"/>
      <c r="AFE207" s="28"/>
      <c r="AFF207" s="28"/>
      <c r="AFG207" s="28"/>
      <c r="AFH207" s="28"/>
      <c r="AFI207" s="28"/>
      <c r="AFJ207" s="28"/>
      <c r="AFK207" s="28"/>
      <c r="AFL207" s="28"/>
      <c r="AFM207" s="28"/>
      <c r="AFN207" s="28"/>
      <c r="AFO207" s="28"/>
      <c r="AFP207" s="28"/>
      <c r="AFQ207" s="28"/>
      <c r="AFR207" s="28"/>
      <c r="AFS207" s="28"/>
      <c r="AFT207" s="28"/>
      <c r="AFU207" s="28"/>
      <c r="AFV207" s="28"/>
      <c r="AFW207" s="28"/>
      <c r="AFX207" s="28"/>
      <c r="AFY207" s="28"/>
      <c r="AFZ207" s="28"/>
      <c r="AGA207" s="28"/>
      <c r="AGB207" s="28"/>
      <c r="AGC207" s="28"/>
      <c r="AGD207" s="28"/>
      <c r="AGE207" s="28"/>
      <c r="AGF207" s="28"/>
      <c r="AGG207" s="28"/>
      <c r="AGH207" s="28"/>
      <c r="AGI207" s="28"/>
      <c r="AGJ207" s="28"/>
      <c r="AGK207" s="28"/>
      <c r="AGL207" s="28"/>
      <c r="AGM207" s="28"/>
      <c r="AGN207" s="28"/>
      <c r="AGO207" s="28"/>
      <c r="AGP207" s="28"/>
      <c r="AGQ207" s="28"/>
      <c r="AGR207" s="28"/>
      <c r="AGS207" s="28"/>
      <c r="AGT207" s="28"/>
      <c r="AGU207" s="28"/>
      <c r="AGV207" s="28"/>
      <c r="AGW207" s="28"/>
      <c r="AGX207" s="28"/>
      <c r="AGY207" s="28"/>
      <c r="AGZ207" s="28"/>
      <c r="AHA207" s="28"/>
      <c r="AHB207" s="28"/>
      <c r="AHC207" s="28"/>
      <c r="AHD207" s="28"/>
      <c r="AHE207" s="28"/>
      <c r="AHF207" s="28"/>
      <c r="AHG207" s="28"/>
      <c r="AHH207" s="28"/>
      <c r="AHI207" s="28"/>
      <c r="AHJ207" s="28"/>
      <c r="AHK207" s="28"/>
      <c r="AHL207" s="28"/>
      <c r="AHM207" s="28"/>
      <c r="AHN207" s="28"/>
      <c r="AHO207" s="28"/>
      <c r="AHP207" s="28"/>
      <c r="AHQ207" s="28"/>
      <c r="AHR207" s="28"/>
      <c r="AHS207" s="28"/>
      <c r="AHT207" s="28"/>
      <c r="AHU207" s="28"/>
      <c r="AHV207" s="28"/>
      <c r="AHW207" s="28"/>
      <c r="AHX207" s="28"/>
      <c r="AHY207" s="28"/>
      <c r="AHZ207" s="28"/>
      <c r="AIA207" s="28"/>
      <c r="AIB207" s="28"/>
      <c r="AIC207" s="28"/>
      <c r="AID207" s="28"/>
      <c r="AIE207" s="28"/>
      <c r="AIF207" s="28"/>
      <c r="AIG207" s="28"/>
      <c r="AIH207" s="28"/>
      <c r="AII207" s="28"/>
      <c r="AIJ207" s="28"/>
      <c r="AIK207" s="28"/>
      <c r="AIL207" s="28"/>
      <c r="AIM207" s="28"/>
      <c r="AIN207" s="28"/>
      <c r="AIO207" s="28"/>
      <c r="AIP207" s="28"/>
      <c r="AIQ207" s="28"/>
      <c r="AIR207" s="28"/>
      <c r="AIS207" s="28"/>
      <c r="AIT207" s="28"/>
      <c r="AIU207" s="28"/>
      <c r="AIV207" s="28"/>
      <c r="AIW207" s="28"/>
      <c r="AIX207" s="28"/>
      <c r="AIY207" s="28"/>
      <c r="AIZ207" s="28"/>
      <c r="AJA207" s="28"/>
      <c r="AJB207" s="28"/>
      <c r="AJC207" s="28"/>
      <c r="AJD207" s="28"/>
      <c r="AJE207" s="28"/>
      <c r="AJF207" s="28"/>
      <c r="AJG207" s="28"/>
      <c r="AJH207" s="28"/>
      <c r="AJI207" s="28"/>
      <c r="AJJ207" s="28"/>
      <c r="AJK207" s="28"/>
      <c r="AJL207" s="28"/>
      <c r="AJM207" s="28"/>
      <c r="AJN207" s="28"/>
      <c r="AJO207" s="28"/>
      <c r="AJP207" s="28"/>
      <c r="AJQ207" s="28"/>
      <c r="AJR207" s="28"/>
      <c r="AJS207" s="28"/>
      <c r="AJT207" s="28"/>
      <c r="AJU207" s="28"/>
      <c r="AJV207" s="28"/>
      <c r="AJW207" s="28"/>
      <c r="AJX207" s="28"/>
      <c r="AJY207" s="28"/>
      <c r="AJZ207" s="28"/>
      <c r="AKA207" s="28"/>
      <c r="AKB207" s="28"/>
      <c r="AKC207" s="28"/>
      <c r="AKD207" s="28"/>
      <c r="AKE207" s="28"/>
      <c r="AKF207" s="28"/>
      <c r="AKG207" s="28"/>
      <c r="AKH207" s="28"/>
      <c r="AKI207" s="28"/>
      <c r="AKJ207" s="28"/>
      <c r="AKK207" s="28"/>
      <c r="AKL207" s="28"/>
      <c r="AKM207" s="28"/>
      <c r="AKN207" s="28"/>
      <c r="AKO207" s="28"/>
      <c r="AKP207" s="28"/>
      <c r="AKQ207" s="28"/>
      <c r="AKR207" s="28"/>
      <c r="AKS207" s="28"/>
      <c r="AKT207" s="28"/>
      <c r="AKU207" s="28"/>
      <c r="AKV207" s="28"/>
      <c r="AKW207" s="28"/>
      <c r="AKX207" s="28"/>
      <c r="AKY207" s="28"/>
      <c r="AKZ207" s="28"/>
      <c r="ALA207" s="28"/>
      <c r="ALB207" s="28"/>
      <c r="ALC207" s="28"/>
      <c r="ALD207" s="28"/>
      <c r="ALE207" s="28"/>
      <c r="ALF207" s="28"/>
      <c r="ALG207" s="28"/>
      <c r="ALH207" s="28"/>
      <c r="ALI207" s="28"/>
      <c r="ALJ207" s="28"/>
      <c r="ALK207" s="28"/>
      <c r="ALL207" s="28"/>
      <c r="ALM207" s="28"/>
      <c r="ALN207" s="28"/>
      <c r="ALO207" s="28"/>
      <c r="ALP207" s="28"/>
      <c r="ALQ207" s="28"/>
      <c r="ALR207" s="28"/>
      <c r="ALS207" s="28"/>
      <c r="ALT207" s="28"/>
      <c r="ALU207" s="28"/>
      <c r="ALV207" s="28"/>
      <c r="ALW207" s="28"/>
      <c r="ALX207" s="28"/>
      <c r="ALY207" s="28"/>
      <c r="ALZ207" s="28"/>
      <c r="AMA207" s="28"/>
      <c r="AMB207" s="28"/>
      <c r="AMC207" s="28"/>
      <c r="AMD207" s="28"/>
      <c r="AME207" s="28"/>
      <c r="AMF207" s="28"/>
      <c r="AMG207" s="28"/>
      <c r="AMH207" s="28"/>
      <c r="AMI207" s="28"/>
      <c r="AMJ207" s="28"/>
      <c r="AMK207" s="28"/>
      <c r="AML207" s="28"/>
      <c r="AMM207" s="28"/>
      <c r="AMN207" s="28"/>
      <c r="AMO207" s="28"/>
      <c r="AMP207" s="28"/>
      <c r="AMQ207" s="28"/>
      <c r="AMR207" s="28"/>
      <c r="AMS207" s="28"/>
      <c r="AMT207" s="28"/>
      <c r="AMU207" s="28"/>
      <c r="AMV207" s="28"/>
      <c r="AMW207" s="28"/>
      <c r="AMX207" s="28"/>
      <c r="AMY207" s="28"/>
      <c r="AMZ207" s="28"/>
      <c r="ANA207" s="28"/>
      <c r="ANB207" s="28"/>
      <c r="ANC207" s="28"/>
      <c r="AND207" s="28"/>
      <c r="ANE207" s="28"/>
      <c r="ANF207" s="28"/>
      <c r="ANG207" s="28"/>
      <c r="ANH207" s="28"/>
      <c r="ANI207" s="28"/>
      <c r="ANJ207" s="28"/>
      <c r="ANK207" s="28"/>
      <c r="ANL207" s="28"/>
      <c r="ANM207" s="28"/>
      <c r="ANN207" s="28"/>
      <c r="ANO207" s="28"/>
      <c r="ANP207" s="28"/>
      <c r="ANQ207" s="28"/>
      <c r="ANR207" s="28"/>
      <c r="ANS207" s="28"/>
      <c r="ANT207" s="28"/>
      <c r="ANU207" s="28"/>
      <c r="ANV207" s="28"/>
      <c r="ANW207" s="28"/>
      <c r="ANX207" s="28"/>
      <c r="ANY207" s="28"/>
      <c r="ANZ207" s="28"/>
      <c r="AOA207" s="28"/>
      <c r="AOB207" s="28"/>
      <c r="AOC207" s="28"/>
      <c r="AOD207" s="28"/>
      <c r="AOE207" s="28"/>
      <c r="AOF207" s="28"/>
      <c r="AOG207" s="28"/>
      <c r="AOH207" s="28"/>
      <c r="AOI207" s="28"/>
      <c r="AOJ207" s="28"/>
      <c r="AOK207" s="28"/>
      <c r="AOL207" s="28"/>
      <c r="AOM207" s="28"/>
      <c r="AON207" s="28"/>
      <c r="AOO207" s="28"/>
      <c r="AOP207" s="28"/>
      <c r="AOQ207" s="28"/>
      <c r="AOR207" s="28"/>
      <c r="AOS207" s="28"/>
      <c r="AOT207" s="28"/>
      <c r="AOU207" s="28"/>
      <c r="AOV207" s="28"/>
      <c r="AOW207" s="28"/>
      <c r="AOX207" s="28"/>
      <c r="AOY207" s="28"/>
      <c r="AOZ207" s="28"/>
      <c r="APA207" s="28"/>
      <c r="APB207" s="28"/>
      <c r="APC207" s="28"/>
      <c r="APD207" s="28"/>
      <c r="APE207" s="28"/>
      <c r="APF207" s="28"/>
      <c r="APG207" s="28"/>
      <c r="APH207" s="28"/>
      <c r="API207" s="28"/>
      <c r="APJ207" s="28"/>
      <c r="APK207" s="28"/>
      <c r="APL207" s="28"/>
      <c r="APM207" s="28"/>
      <c r="APN207" s="28"/>
      <c r="APO207" s="28"/>
      <c r="APP207" s="28"/>
      <c r="APQ207" s="28"/>
      <c r="APR207" s="28"/>
      <c r="APS207" s="28"/>
      <c r="APT207" s="28"/>
      <c r="APU207" s="28"/>
      <c r="APV207" s="28"/>
      <c r="APW207" s="28"/>
      <c r="APX207" s="28"/>
      <c r="APY207" s="28"/>
      <c r="APZ207" s="28"/>
      <c r="AQA207" s="28"/>
      <c r="AQB207" s="28"/>
      <c r="AQC207" s="28"/>
      <c r="AQD207" s="28"/>
      <c r="AQE207" s="28"/>
      <c r="AQF207" s="28"/>
      <c r="AQG207" s="28"/>
      <c r="AQH207" s="28"/>
      <c r="AQI207" s="28"/>
      <c r="AQJ207" s="28"/>
      <c r="AQK207" s="28"/>
      <c r="AQL207" s="28"/>
      <c r="AQM207" s="28"/>
      <c r="AQN207" s="28"/>
      <c r="AQO207" s="28"/>
      <c r="AQP207" s="28"/>
      <c r="AQQ207" s="28"/>
      <c r="AQR207" s="28"/>
      <c r="AQS207" s="28"/>
      <c r="AQT207" s="28"/>
      <c r="AQU207" s="28"/>
      <c r="AQV207" s="28"/>
      <c r="AQW207" s="28"/>
      <c r="AQX207" s="28"/>
      <c r="AQY207" s="28"/>
      <c r="AQZ207" s="28"/>
      <c r="ARA207" s="28"/>
      <c r="ARB207" s="28"/>
      <c r="ARC207" s="28"/>
      <c r="ARD207" s="28"/>
      <c r="ARE207" s="28"/>
      <c r="ARF207" s="28"/>
      <c r="ARG207" s="28"/>
      <c r="ARH207" s="28"/>
      <c r="ARI207" s="28"/>
      <c r="ARJ207" s="28"/>
      <c r="ARK207" s="28"/>
      <c r="ARL207" s="28"/>
      <c r="ARM207" s="28"/>
      <c r="ARN207" s="28"/>
      <c r="ARO207" s="28"/>
      <c r="ARP207" s="28"/>
      <c r="ARQ207" s="28"/>
      <c r="ARR207" s="28"/>
      <c r="ARS207" s="28"/>
      <c r="ART207" s="28"/>
      <c r="ARU207" s="28"/>
      <c r="ARV207" s="28"/>
      <c r="ARW207" s="28"/>
      <c r="ARX207" s="28"/>
      <c r="ARY207" s="28"/>
      <c r="ARZ207" s="28"/>
      <c r="ASA207" s="28"/>
      <c r="ASB207" s="28"/>
      <c r="ASC207" s="28"/>
      <c r="ASD207" s="28"/>
      <c r="ASE207" s="28"/>
      <c r="ASF207" s="28"/>
      <c r="ASG207" s="28"/>
      <c r="ASH207" s="28"/>
      <c r="ASI207" s="28"/>
      <c r="ASJ207" s="28"/>
      <c r="ASK207" s="28"/>
      <c r="ASL207" s="28"/>
      <c r="ASM207" s="28"/>
      <c r="ASN207" s="28"/>
      <c r="ASO207" s="28"/>
      <c r="ASP207" s="28"/>
      <c r="ASQ207" s="28"/>
      <c r="ASR207" s="28"/>
      <c r="ASS207" s="28"/>
      <c r="AST207" s="28"/>
      <c r="ASU207" s="28"/>
      <c r="ASV207" s="28"/>
      <c r="ASW207" s="28"/>
      <c r="ASX207" s="28"/>
      <c r="ASY207" s="28"/>
      <c r="ASZ207" s="28"/>
      <c r="ATA207" s="28"/>
      <c r="ATB207" s="28"/>
      <c r="ATC207" s="28"/>
      <c r="ATD207" s="28"/>
      <c r="ATE207" s="28"/>
      <c r="ATF207" s="28"/>
      <c r="ATG207" s="28"/>
      <c r="ATH207" s="28"/>
      <c r="ATI207" s="28"/>
      <c r="ATJ207" s="28"/>
      <c r="ATK207" s="28"/>
      <c r="ATL207" s="28"/>
      <c r="ATM207" s="28"/>
      <c r="ATN207" s="28"/>
      <c r="ATO207" s="28"/>
      <c r="ATP207" s="28"/>
      <c r="ATQ207" s="28"/>
      <c r="ATR207" s="28"/>
      <c r="ATS207" s="28"/>
      <c r="ATT207" s="28"/>
      <c r="ATU207" s="28"/>
      <c r="ATV207" s="28"/>
      <c r="ATW207" s="28"/>
      <c r="ATX207" s="28"/>
      <c r="ATY207" s="28"/>
      <c r="ATZ207" s="28"/>
      <c r="AUA207" s="28"/>
      <c r="AUB207" s="28"/>
      <c r="AUC207" s="28"/>
      <c r="AUD207" s="28"/>
      <c r="AUE207" s="28"/>
      <c r="AUF207" s="28"/>
      <c r="AUG207" s="28"/>
      <c r="AUH207" s="28"/>
      <c r="AUI207" s="28"/>
      <c r="AUJ207" s="28"/>
      <c r="AUK207" s="28"/>
      <c r="AUL207" s="28"/>
      <c r="AUM207" s="28"/>
      <c r="AUN207" s="28"/>
      <c r="AUO207" s="28"/>
      <c r="AUP207" s="28"/>
      <c r="AUQ207" s="28"/>
      <c r="AUR207" s="28"/>
      <c r="AUS207" s="28"/>
      <c r="AUT207" s="28"/>
      <c r="AUU207" s="28"/>
      <c r="AUV207" s="28"/>
      <c r="AUW207" s="28"/>
      <c r="AUX207" s="28"/>
      <c r="AUY207" s="28"/>
      <c r="AUZ207" s="28"/>
      <c r="AVA207" s="28"/>
      <c r="AVB207" s="28"/>
      <c r="AVC207" s="28"/>
      <c r="AVD207" s="28"/>
      <c r="AVE207" s="28"/>
      <c r="AVF207" s="28"/>
      <c r="AVG207" s="28"/>
      <c r="AVH207" s="28"/>
      <c r="AVI207" s="28"/>
      <c r="AVJ207" s="28"/>
      <c r="AVK207" s="28"/>
      <c r="AVL207" s="28"/>
      <c r="AVM207" s="28"/>
      <c r="AVN207" s="28"/>
      <c r="AVO207" s="28"/>
      <c r="AVP207" s="28"/>
      <c r="AVQ207" s="28"/>
      <c r="AVR207" s="28"/>
      <c r="AVS207" s="28"/>
      <c r="AVT207" s="28"/>
      <c r="AVU207" s="28"/>
      <c r="AVV207" s="28"/>
      <c r="AVW207" s="28"/>
      <c r="AVX207" s="28"/>
      <c r="AVY207" s="28"/>
      <c r="AVZ207" s="28"/>
      <c r="AWA207" s="28"/>
      <c r="AWB207" s="28"/>
      <c r="AWC207" s="28"/>
      <c r="AWD207" s="28"/>
      <c r="AWE207" s="28"/>
      <c r="AWF207" s="28"/>
      <c r="AWG207" s="28"/>
      <c r="AWH207" s="28"/>
      <c r="AWI207" s="28"/>
      <c r="AWJ207" s="28"/>
      <c r="AWK207" s="28"/>
      <c r="AWL207" s="28"/>
      <c r="AWM207" s="28"/>
      <c r="AWN207" s="28"/>
      <c r="AWO207" s="28"/>
      <c r="AWP207" s="28"/>
      <c r="AWQ207" s="28"/>
      <c r="AWR207" s="28"/>
      <c r="AWS207" s="28"/>
      <c r="AWT207" s="28"/>
      <c r="AWU207" s="28"/>
      <c r="AWV207" s="28"/>
      <c r="AWW207" s="28"/>
      <c r="AWX207" s="28"/>
      <c r="AWY207" s="28"/>
      <c r="AWZ207" s="28"/>
      <c r="AXA207" s="28"/>
      <c r="AXB207" s="28"/>
      <c r="AXC207" s="28"/>
      <c r="AXD207" s="28"/>
      <c r="AXE207" s="28"/>
      <c r="AXF207" s="28"/>
      <c r="AXG207" s="28"/>
      <c r="AXH207" s="28"/>
      <c r="AXI207" s="28"/>
      <c r="AXJ207" s="28"/>
      <c r="AXK207" s="28"/>
      <c r="AXL207" s="28"/>
      <c r="AXM207" s="28"/>
      <c r="AXN207" s="28"/>
      <c r="AXO207" s="28"/>
      <c r="AXP207" s="28"/>
      <c r="AXQ207" s="28"/>
      <c r="AXR207" s="28"/>
      <c r="AXS207" s="28"/>
      <c r="AXT207" s="28"/>
      <c r="AXU207" s="28"/>
      <c r="AXV207" s="28"/>
      <c r="AXW207" s="28"/>
      <c r="AXX207" s="28"/>
      <c r="AXY207" s="28"/>
      <c r="AXZ207" s="28"/>
      <c r="AYA207" s="28"/>
      <c r="AYB207" s="28"/>
      <c r="AYC207" s="28"/>
      <c r="AYD207" s="28"/>
      <c r="AYE207" s="28"/>
      <c r="AYF207" s="28"/>
      <c r="AYG207" s="28"/>
      <c r="AYH207" s="28"/>
      <c r="AYI207" s="28"/>
      <c r="AYJ207" s="28"/>
      <c r="AYK207" s="28"/>
      <c r="AYL207" s="28"/>
      <c r="AYM207" s="28"/>
      <c r="AYN207" s="28"/>
      <c r="AYO207" s="28"/>
      <c r="AYP207" s="28"/>
      <c r="AYQ207" s="28"/>
      <c r="AYR207" s="28"/>
      <c r="AYS207" s="28"/>
      <c r="AYT207" s="28"/>
      <c r="AYU207" s="28"/>
      <c r="AYV207" s="28"/>
      <c r="AYW207" s="28"/>
      <c r="AYX207" s="28"/>
      <c r="AYY207" s="28"/>
      <c r="AYZ207" s="28"/>
      <c r="AZA207" s="28"/>
      <c r="AZB207" s="28"/>
      <c r="AZC207" s="28"/>
      <c r="AZD207" s="28"/>
      <c r="AZE207" s="28"/>
      <c r="AZF207" s="28"/>
      <c r="AZG207" s="28"/>
      <c r="AZH207" s="28"/>
      <c r="AZI207" s="28"/>
      <c r="AZJ207" s="28"/>
      <c r="AZK207" s="28"/>
      <c r="AZL207" s="28"/>
      <c r="AZM207" s="28"/>
      <c r="AZN207" s="28"/>
      <c r="AZO207" s="28"/>
      <c r="AZP207" s="28"/>
      <c r="AZQ207" s="28"/>
      <c r="AZR207" s="28"/>
      <c r="AZS207" s="28"/>
      <c r="AZT207" s="28"/>
      <c r="AZU207" s="28"/>
      <c r="AZV207" s="28"/>
      <c r="AZW207" s="28"/>
      <c r="AZX207" s="28"/>
      <c r="AZY207" s="28"/>
      <c r="AZZ207" s="28"/>
      <c r="BAA207" s="28"/>
      <c r="BAB207" s="28"/>
      <c r="BAC207" s="28"/>
      <c r="BAD207" s="28"/>
      <c r="BAE207" s="28"/>
      <c r="BAF207" s="28"/>
      <c r="BAG207" s="28"/>
      <c r="BAH207" s="28"/>
      <c r="BAI207" s="28"/>
      <c r="BAJ207" s="28"/>
      <c r="BAK207" s="28"/>
      <c r="BAL207" s="28"/>
      <c r="BAM207" s="28"/>
      <c r="BAN207" s="28"/>
      <c r="BAO207" s="28"/>
      <c r="BAP207" s="28"/>
      <c r="BAQ207" s="28"/>
      <c r="BAR207" s="28"/>
      <c r="BAS207" s="28"/>
      <c r="BAT207" s="28"/>
      <c r="BAU207" s="28"/>
      <c r="BAV207" s="28"/>
      <c r="BAW207" s="28"/>
      <c r="BAX207" s="28"/>
      <c r="BAY207" s="28"/>
      <c r="BAZ207" s="28"/>
      <c r="BBA207" s="28"/>
      <c r="BBB207" s="28"/>
      <c r="BBC207" s="28"/>
      <c r="BBD207" s="28"/>
      <c r="BBE207" s="28"/>
      <c r="BBF207" s="28"/>
      <c r="BBG207" s="28"/>
      <c r="BBH207" s="28"/>
      <c r="BBI207" s="28"/>
      <c r="BBJ207" s="28"/>
      <c r="BBK207" s="28"/>
      <c r="BBL207" s="28"/>
      <c r="BBM207" s="28"/>
      <c r="BBN207" s="28"/>
      <c r="BBO207" s="28"/>
      <c r="BBP207" s="28"/>
      <c r="BBQ207" s="28"/>
      <c r="BBR207" s="28"/>
      <c r="BBS207" s="28"/>
      <c r="BBT207" s="28"/>
      <c r="BBU207" s="28"/>
      <c r="BBV207" s="28"/>
      <c r="BBW207" s="28"/>
      <c r="BBX207" s="28"/>
      <c r="BBY207" s="28"/>
      <c r="BBZ207" s="28"/>
      <c r="BCA207" s="28"/>
      <c r="BCB207" s="28"/>
      <c r="BCC207" s="28"/>
      <c r="BCD207" s="28"/>
      <c r="BCE207" s="28"/>
      <c r="BCF207" s="28"/>
      <c r="BCG207" s="28"/>
      <c r="BCH207" s="28"/>
      <c r="BCI207" s="28"/>
      <c r="BCJ207" s="28"/>
      <c r="BCK207" s="28"/>
      <c r="BCL207" s="28"/>
      <c r="BCM207" s="28"/>
      <c r="BCN207" s="28"/>
      <c r="BCO207" s="28"/>
      <c r="BCP207" s="28"/>
      <c r="BCQ207" s="28"/>
      <c r="BCR207" s="28"/>
      <c r="BCS207" s="28"/>
      <c r="BCT207" s="28"/>
      <c r="BCU207" s="28"/>
      <c r="BCV207" s="28"/>
      <c r="BCW207" s="28"/>
      <c r="BCX207" s="28"/>
      <c r="BCY207" s="28"/>
      <c r="BCZ207" s="28"/>
      <c r="BDA207" s="28"/>
      <c r="BDB207" s="28"/>
      <c r="BDC207" s="28"/>
      <c r="BDD207" s="28"/>
      <c r="BDE207" s="28"/>
      <c r="BDF207" s="28"/>
      <c r="BDG207" s="28"/>
      <c r="BDH207" s="28"/>
      <c r="BDI207" s="28"/>
      <c r="BDJ207" s="28"/>
      <c r="BDK207" s="28"/>
      <c r="BDL207" s="28"/>
      <c r="BDM207" s="28"/>
      <c r="BDN207" s="28"/>
      <c r="BDO207" s="28"/>
      <c r="BDP207" s="28"/>
      <c r="BDQ207" s="28"/>
      <c r="BDR207" s="28"/>
      <c r="BDS207" s="28"/>
      <c r="BDT207" s="28"/>
      <c r="BDU207" s="28"/>
      <c r="BDV207" s="28"/>
      <c r="BDW207" s="28"/>
      <c r="BDX207" s="28"/>
      <c r="BDY207" s="28"/>
      <c r="BDZ207" s="28"/>
      <c r="BEA207" s="28"/>
      <c r="BEB207" s="28"/>
      <c r="BEC207" s="28"/>
      <c r="BED207" s="28"/>
      <c r="BEE207" s="28"/>
      <c r="BEF207" s="28"/>
      <c r="BEG207" s="28"/>
      <c r="BEH207" s="28"/>
      <c r="BEI207" s="28"/>
      <c r="BEJ207" s="28"/>
      <c r="BEK207" s="28"/>
      <c r="BEL207" s="28"/>
      <c r="BEM207" s="28"/>
      <c r="BEN207" s="28"/>
      <c r="BEO207" s="28"/>
      <c r="BEP207" s="28"/>
      <c r="BEQ207" s="28"/>
      <c r="BER207" s="28"/>
      <c r="BES207" s="28"/>
      <c r="BET207" s="28"/>
      <c r="BEU207" s="28"/>
      <c r="BEV207" s="28"/>
      <c r="BEW207" s="28"/>
      <c r="BEX207" s="28"/>
      <c r="BEY207" s="28"/>
      <c r="BEZ207" s="28"/>
      <c r="BFA207" s="28"/>
      <c r="BFB207" s="28"/>
      <c r="BFC207" s="28"/>
      <c r="BFD207" s="28"/>
      <c r="BFE207" s="28"/>
      <c r="BFF207" s="28"/>
      <c r="BFG207" s="28"/>
      <c r="BFH207" s="28"/>
      <c r="BFI207" s="28"/>
      <c r="BFJ207" s="28"/>
      <c r="BFK207" s="28"/>
      <c r="BFL207" s="28"/>
      <c r="BFM207" s="28"/>
      <c r="BFN207" s="28"/>
      <c r="BFO207" s="28"/>
      <c r="BFP207" s="28"/>
      <c r="BFQ207" s="28"/>
      <c r="BFR207" s="28"/>
      <c r="BFS207" s="28"/>
      <c r="BFT207" s="28"/>
      <c r="BFU207" s="28"/>
      <c r="BFV207" s="28"/>
      <c r="BFW207" s="28"/>
      <c r="BFX207" s="28"/>
      <c r="BFY207" s="28"/>
      <c r="BFZ207" s="28"/>
      <c r="BGA207" s="28"/>
      <c r="BGB207" s="28"/>
      <c r="BGC207" s="28"/>
      <c r="BGD207" s="28"/>
      <c r="BGE207" s="28"/>
      <c r="BGF207" s="28"/>
      <c r="BGG207" s="28"/>
      <c r="BGH207" s="28"/>
      <c r="BGI207" s="28"/>
      <c r="BGJ207" s="28"/>
      <c r="BGK207" s="28"/>
      <c r="BGL207" s="28"/>
      <c r="BGM207" s="28"/>
      <c r="BGN207" s="28"/>
      <c r="BGO207" s="28"/>
      <c r="BGP207" s="28"/>
      <c r="BGQ207" s="28"/>
      <c r="BGR207" s="28"/>
      <c r="BGS207" s="28"/>
      <c r="BGT207" s="28"/>
      <c r="BGU207" s="28"/>
      <c r="BGV207" s="28"/>
      <c r="BGW207" s="28"/>
      <c r="BGX207" s="28"/>
      <c r="BGY207" s="28"/>
      <c r="BGZ207" s="28"/>
      <c r="BHA207" s="28"/>
      <c r="BHB207" s="28"/>
      <c r="BHC207" s="28"/>
      <c r="BHD207" s="28"/>
      <c r="BHE207" s="28"/>
      <c r="BHF207" s="28"/>
      <c r="BHG207" s="28"/>
      <c r="BHH207" s="28"/>
      <c r="BHI207" s="28"/>
      <c r="BHJ207" s="28"/>
      <c r="BHK207" s="28"/>
      <c r="BHL207" s="28"/>
      <c r="BHM207" s="28"/>
      <c r="BHN207" s="28"/>
      <c r="BHO207" s="28"/>
      <c r="BHP207" s="28"/>
      <c r="BHQ207" s="28"/>
      <c r="BHR207" s="28"/>
      <c r="BHS207" s="28"/>
      <c r="BHT207" s="28"/>
      <c r="BHU207" s="28"/>
      <c r="BHV207" s="28"/>
      <c r="BHW207" s="28"/>
      <c r="BHX207" s="28"/>
      <c r="BHY207" s="28"/>
      <c r="BHZ207" s="28"/>
      <c r="BIA207" s="28"/>
      <c r="BIB207" s="28"/>
      <c r="BIC207" s="28"/>
      <c r="BID207" s="28"/>
      <c r="BIE207" s="28"/>
      <c r="BIF207" s="28"/>
      <c r="BIG207" s="28"/>
      <c r="BIH207" s="28"/>
      <c r="BII207" s="28"/>
      <c r="BIJ207" s="28"/>
      <c r="BIK207" s="28"/>
      <c r="BIL207" s="28"/>
      <c r="BIM207" s="28"/>
      <c r="BIN207" s="28"/>
      <c r="BIO207" s="28"/>
      <c r="BIP207" s="28"/>
      <c r="BIQ207" s="28"/>
      <c r="BIR207" s="28"/>
      <c r="BIS207" s="28"/>
      <c r="BIT207" s="28"/>
      <c r="BIU207" s="28"/>
      <c r="BIV207" s="28"/>
      <c r="BIW207" s="28"/>
      <c r="BIX207" s="28"/>
      <c r="BIY207" s="28"/>
      <c r="BIZ207" s="28"/>
      <c r="BJA207" s="28"/>
      <c r="BJB207" s="28"/>
      <c r="BJC207" s="28"/>
      <c r="BJD207" s="28"/>
      <c r="BJE207" s="28"/>
      <c r="BJF207" s="28"/>
      <c r="BJG207" s="28"/>
      <c r="BJH207" s="28"/>
      <c r="BJI207" s="28"/>
      <c r="BJJ207" s="28"/>
      <c r="BJK207" s="28"/>
      <c r="BJL207" s="28"/>
      <c r="BJM207" s="28"/>
      <c r="BJN207" s="28"/>
      <c r="BJO207" s="28"/>
      <c r="BJP207" s="28"/>
      <c r="BJQ207" s="28"/>
      <c r="BJR207" s="28"/>
      <c r="BJS207" s="28"/>
      <c r="BJT207" s="28"/>
      <c r="BJU207" s="28"/>
      <c r="BJV207" s="28"/>
      <c r="BJW207" s="28"/>
      <c r="BJX207" s="28"/>
      <c r="BJY207" s="28"/>
      <c r="BJZ207" s="28"/>
      <c r="BKA207" s="28"/>
      <c r="BKB207" s="28"/>
      <c r="BKC207" s="28"/>
      <c r="BKD207" s="28"/>
      <c r="BKE207" s="28"/>
      <c r="BKF207" s="28"/>
      <c r="BKG207" s="28"/>
      <c r="BKH207" s="28"/>
      <c r="BKI207" s="28"/>
      <c r="BKJ207" s="28"/>
      <c r="BKK207" s="28"/>
      <c r="BKL207" s="28"/>
      <c r="BKM207" s="28"/>
      <c r="BKN207" s="28"/>
      <c r="BKO207" s="28"/>
      <c r="BKP207" s="28"/>
      <c r="BKQ207" s="28"/>
      <c r="BKR207" s="28"/>
      <c r="BKS207" s="28"/>
      <c r="BKT207" s="28"/>
      <c r="BKU207" s="28"/>
      <c r="BKV207" s="28"/>
      <c r="BKW207" s="28"/>
      <c r="BKX207" s="28"/>
      <c r="BKY207" s="28"/>
      <c r="BKZ207" s="28"/>
      <c r="BLA207" s="28"/>
      <c r="BLB207" s="28"/>
      <c r="BLC207" s="28"/>
      <c r="BLD207" s="28"/>
      <c r="BLE207" s="28"/>
      <c r="BLF207" s="28"/>
      <c r="BLG207" s="28"/>
      <c r="BLH207" s="28"/>
      <c r="BLI207" s="28"/>
      <c r="BLJ207" s="28"/>
      <c r="BLK207" s="28"/>
      <c r="BLL207" s="28"/>
      <c r="BLM207" s="28"/>
      <c r="BLN207" s="28"/>
      <c r="BLO207" s="28"/>
      <c r="BLP207" s="28"/>
      <c r="BLQ207" s="28"/>
      <c r="BLR207" s="28"/>
      <c r="BLS207" s="28"/>
      <c r="BLT207" s="28"/>
      <c r="BLU207" s="28"/>
      <c r="BLV207" s="28"/>
      <c r="BLW207" s="28"/>
      <c r="BLX207" s="28"/>
      <c r="BLY207" s="28"/>
      <c r="BLZ207" s="28"/>
      <c r="BMA207" s="28"/>
      <c r="BMB207" s="28"/>
      <c r="BMC207" s="28"/>
      <c r="BMD207" s="28"/>
      <c r="BME207" s="28"/>
      <c r="BMF207" s="28"/>
      <c r="BMG207" s="28"/>
      <c r="BMH207" s="28"/>
      <c r="BMI207" s="28"/>
      <c r="BMJ207" s="28"/>
      <c r="BMK207" s="28"/>
      <c r="BML207" s="28"/>
      <c r="BMM207" s="28"/>
      <c r="BMN207" s="28"/>
      <c r="BMO207" s="28"/>
      <c r="BMP207" s="28"/>
      <c r="BMQ207" s="28"/>
      <c r="BMR207" s="28"/>
      <c r="BMS207" s="28"/>
      <c r="BMT207" s="28"/>
      <c r="BMU207" s="28"/>
      <c r="BMV207" s="28"/>
      <c r="BMW207" s="28"/>
      <c r="BMX207" s="28"/>
      <c r="BMY207" s="28"/>
      <c r="BMZ207" s="28"/>
      <c r="BNA207" s="28"/>
      <c r="BNB207" s="28"/>
      <c r="BNC207" s="28"/>
      <c r="BND207" s="28"/>
      <c r="BNE207" s="28"/>
      <c r="BNF207" s="28"/>
      <c r="BNG207" s="28"/>
      <c r="BNH207" s="28"/>
      <c r="BNI207" s="28"/>
      <c r="BNJ207" s="28"/>
      <c r="BNK207" s="28"/>
      <c r="BNL207" s="28"/>
      <c r="BNM207" s="28"/>
      <c r="BNN207" s="28"/>
      <c r="BNO207" s="28"/>
      <c r="BNP207" s="28"/>
      <c r="BNQ207" s="28"/>
      <c r="BNR207" s="28"/>
      <c r="BNS207" s="28"/>
      <c r="BNT207" s="28"/>
      <c r="BNU207" s="28"/>
      <c r="BNV207" s="28"/>
      <c r="BNW207" s="28"/>
      <c r="BNX207" s="28"/>
      <c r="BNY207" s="28"/>
      <c r="BNZ207" s="28"/>
      <c r="BOA207" s="28"/>
      <c r="BOB207" s="28"/>
      <c r="BOC207" s="28"/>
      <c r="BOD207" s="28"/>
      <c r="BOE207" s="28"/>
      <c r="BOF207" s="28"/>
      <c r="BOG207" s="28"/>
      <c r="BOH207" s="28"/>
      <c r="BOI207" s="28"/>
      <c r="BOJ207" s="28"/>
      <c r="BOK207" s="28"/>
      <c r="BOL207" s="28"/>
      <c r="BOM207" s="28"/>
      <c r="BON207" s="28"/>
      <c r="BOO207" s="28"/>
      <c r="BOP207" s="28"/>
      <c r="BOQ207" s="28"/>
      <c r="BOR207" s="28"/>
      <c r="BOS207" s="28"/>
      <c r="BOT207" s="28"/>
      <c r="BOU207" s="28"/>
      <c r="BOV207" s="28"/>
      <c r="BOW207" s="28"/>
      <c r="BOX207" s="28"/>
      <c r="BOY207" s="28"/>
      <c r="BOZ207" s="28"/>
      <c r="BPA207" s="28"/>
      <c r="BPB207" s="28"/>
      <c r="BPC207" s="28"/>
      <c r="BPD207" s="28"/>
      <c r="BPE207" s="28"/>
      <c r="BPF207" s="28"/>
      <c r="BPG207" s="28"/>
      <c r="BPH207" s="28"/>
      <c r="BPI207" s="28"/>
      <c r="BPJ207" s="28"/>
      <c r="BPK207" s="28"/>
      <c r="BPL207" s="28"/>
      <c r="BPM207" s="28"/>
      <c r="BPN207" s="28"/>
      <c r="BPO207" s="28"/>
      <c r="BPP207" s="28"/>
      <c r="BPQ207" s="28"/>
      <c r="BPR207" s="28"/>
      <c r="BPS207" s="28"/>
      <c r="BPT207" s="28"/>
      <c r="BPU207" s="28"/>
      <c r="BPV207" s="28"/>
      <c r="BPW207" s="28"/>
      <c r="BPX207" s="28"/>
      <c r="BPY207" s="28"/>
      <c r="BPZ207" s="28"/>
      <c r="BQA207" s="28"/>
      <c r="BQB207" s="28"/>
      <c r="BQC207" s="28"/>
      <c r="BQD207" s="28"/>
      <c r="BQE207" s="28"/>
      <c r="BQF207" s="28"/>
      <c r="BQG207" s="28"/>
      <c r="BQH207" s="28"/>
      <c r="BQI207" s="28"/>
      <c r="BQJ207" s="28"/>
      <c r="BQK207" s="28"/>
      <c r="BQL207" s="28"/>
      <c r="BQM207" s="28"/>
      <c r="BQN207" s="28"/>
      <c r="BQO207" s="28"/>
      <c r="BQP207" s="28"/>
      <c r="BQQ207" s="28"/>
      <c r="BQR207" s="28"/>
      <c r="BQS207" s="28"/>
      <c r="BQT207" s="28"/>
      <c r="BQU207" s="28"/>
      <c r="BQV207" s="28"/>
      <c r="BQW207" s="28"/>
      <c r="BQX207" s="28"/>
      <c r="BQY207" s="28"/>
      <c r="BQZ207" s="28"/>
      <c r="BRA207" s="28"/>
      <c r="BRB207" s="28"/>
      <c r="BRC207" s="28"/>
      <c r="BRD207" s="28"/>
      <c r="BRE207" s="28"/>
      <c r="BRF207" s="28"/>
      <c r="BRG207" s="28"/>
      <c r="BRH207" s="28"/>
      <c r="BRI207" s="28"/>
      <c r="BRJ207" s="28"/>
      <c r="BRK207" s="28"/>
      <c r="BRL207" s="28"/>
      <c r="BRM207" s="28"/>
      <c r="BRN207" s="28"/>
      <c r="BRO207" s="28"/>
      <c r="BRP207" s="28"/>
      <c r="BRQ207" s="28"/>
      <c r="BRR207" s="28"/>
      <c r="BRS207" s="28"/>
      <c r="BRT207" s="28"/>
      <c r="BRU207" s="28"/>
      <c r="BRV207" s="28"/>
      <c r="BRW207" s="28"/>
      <c r="BRX207" s="28"/>
      <c r="BRY207" s="28"/>
      <c r="BRZ207" s="28"/>
      <c r="BSA207" s="28"/>
      <c r="BSB207" s="28"/>
      <c r="BSC207" s="28"/>
      <c r="BSD207" s="28"/>
      <c r="BSE207" s="28"/>
      <c r="BSF207" s="28"/>
      <c r="BSG207" s="28"/>
      <c r="BSH207" s="28"/>
      <c r="BSI207" s="28"/>
      <c r="BSJ207" s="28"/>
      <c r="BSK207" s="28"/>
      <c r="BSL207" s="28"/>
      <c r="BSM207" s="28"/>
      <c r="BSN207" s="28"/>
      <c r="BSO207" s="28"/>
      <c r="BSP207" s="28"/>
      <c r="BSQ207" s="28"/>
      <c r="BSR207" s="28"/>
      <c r="BSS207" s="28"/>
      <c r="BST207" s="28"/>
      <c r="BSU207" s="28"/>
      <c r="BSV207" s="28"/>
      <c r="BSW207" s="28"/>
      <c r="BSX207" s="28"/>
      <c r="BSY207" s="28"/>
      <c r="BSZ207" s="28"/>
      <c r="BTA207" s="28"/>
      <c r="BTB207" s="28"/>
      <c r="BTC207" s="28"/>
      <c r="BTD207" s="28"/>
      <c r="BTE207" s="28"/>
      <c r="BTF207" s="28"/>
      <c r="BTG207" s="28"/>
      <c r="BTH207" s="28"/>
      <c r="BTI207" s="28"/>
      <c r="BTJ207" s="28"/>
      <c r="BTK207" s="28"/>
      <c r="BTL207" s="28"/>
      <c r="BTM207" s="28"/>
      <c r="BTN207" s="28"/>
      <c r="BTO207" s="28"/>
      <c r="BTP207" s="28"/>
      <c r="BTQ207" s="28"/>
      <c r="BTR207" s="28"/>
      <c r="BTS207" s="28"/>
      <c r="BTT207" s="28"/>
      <c r="BTU207" s="28"/>
      <c r="BTV207" s="28"/>
      <c r="BTW207" s="28"/>
      <c r="BTX207" s="28"/>
      <c r="BTY207" s="28"/>
      <c r="BTZ207" s="28"/>
      <c r="BUA207" s="28"/>
      <c r="BUB207" s="28"/>
      <c r="BUC207" s="28"/>
      <c r="BUD207" s="28"/>
      <c r="BUE207" s="28"/>
      <c r="BUF207" s="28"/>
      <c r="BUG207" s="28"/>
      <c r="BUH207" s="28"/>
      <c r="BUI207" s="28"/>
      <c r="BUJ207" s="28"/>
      <c r="BUK207" s="28"/>
      <c r="BUL207" s="28"/>
      <c r="BUM207" s="28"/>
      <c r="BUN207" s="28"/>
      <c r="BUO207" s="28"/>
      <c r="BUP207" s="28"/>
      <c r="BUQ207" s="28"/>
      <c r="BUR207" s="28"/>
      <c r="BUS207" s="28"/>
      <c r="BUT207" s="28"/>
      <c r="BUU207" s="28"/>
      <c r="BUV207" s="28"/>
      <c r="BUW207" s="28"/>
      <c r="BUX207" s="28"/>
      <c r="BUY207" s="28"/>
      <c r="BUZ207" s="28"/>
      <c r="BVA207" s="28"/>
      <c r="BVB207" s="28"/>
      <c r="BVC207" s="28"/>
      <c r="BVD207" s="28"/>
      <c r="BVE207" s="28"/>
      <c r="BVF207" s="28"/>
      <c r="BVG207" s="28"/>
      <c r="BVH207" s="28"/>
      <c r="BVI207" s="28"/>
      <c r="BVJ207" s="28"/>
      <c r="BVK207" s="28"/>
      <c r="BVL207" s="28"/>
      <c r="BVM207" s="28"/>
      <c r="BVN207" s="28"/>
      <c r="BVO207" s="28"/>
      <c r="BVP207" s="28"/>
      <c r="BVQ207" s="28"/>
      <c r="BVR207" s="28"/>
      <c r="BVS207" s="28"/>
      <c r="BVT207" s="28"/>
      <c r="BVU207" s="28"/>
      <c r="BVV207" s="28"/>
      <c r="BVW207" s="28"/>
      <c r="BVX207" s="28"/>
      <c r="BVY207" s="28"/>
      <c r="BVZ207" s="28"/>
      <c r="BWA207" s="28"/>
      <c r="BWB207" s="28"/>
      <c r="BWC207" s="28"/>
      <c r="BWD207" s="28"/>
      <c r="BWE207" s="28"/>
      <c r="BWF207" s="28"/>
      <c r="BWG207" s="28"/>
      <c r="BWH207" s="28"/>
      <c r="BWI207" s="28"/>
      <c r="BWJ207" s="28"/>
      <c r="BWK207" s="28"/>
      <c r="BWL207" s="28"/>
      <c r="BWM207" s="28"/>
      <c r="BWN207" s="28"/>
      <c r="BWO207" s="28"/>
      <c r="BWP207" s="28"/>
      <c r="BWQ207" s="28"/>
      <c r="BWR207" s="28"/>
      <c r="BWS207" s="28"/>
      <c r="BWT207" s="28"/>
      <c r="BWU207" s="28"/>
      <c r="BWV207" s="28"/>
      <c r="BWW207" s="28"/>
      <c r="BWX207" s="28"/>
      <c r="BWY207" s="28"/>
      <c r="BWZ207" s="28"/>
      <c r="BXA207" s="28"/>
      <c r="BXB207" s="28"/>
      <c r="BXC207" s="28"/>
      <c r="BXD207" s="28"/>
      <c r="BXE207" s="28"/>
      <c r="BXF207" s="28"/>
      <c r="BXG207" s="28"/>
      <c r="BXH207" s="28"/>
      <c r="BXI207" s="28"/>
      <c r="BXJ207" s="28"/>
      <c r="BXK207" s="28"/>
      <c r="BXL207" s="28"/>
      <c r="BXM207" s="28"/>
      <c r="BXN207" s="28"/>
      <c r="BXO207" s="28"/>
      <c r="BXP207" s="28"/>
      <c r="BXQ207" s="28"/>
      <c r="BXR207" s="28"/>
      <c r="BXS207" s="28"/>
      <c r="BXT207" s="28"/>
      <c r="BXU207" s="28"/>
      <c r="BXV207" s="28"/>
      <c r="BXW207" s="28"/>
      <c r="BXX207" s="28"/>
      <c r="BXY207" s="28"/>
      <c r="BXZ207" s="28"/>
      <c r="BYA207" s="28"/>
      <c r="BYB207" s="28"/>
      <c r="BYC207" s="28"/>
      <c r="BYD207" s="28"/>
      <c r="BYE207" s="28"/>
      <c r="BYF207" s="28"/>
      <c r="BYG207" s="28"/>
      <c r="BYH207" s="28"/>
      <c r="BYI207" s="28"/>
      <c r="BYJ207" s="28"/>
      <c r="BYK207" s="28"/>
      <c r="BYL207" s="28"/>
      <c r="BYM207" s="28"/>
      <c r="BYN207" s="28"/>
      <c r="BYO207" s="28"/>
      <c r="BYP207" s="28"/>
      <c r="BYQ207" s="28"/>
      <c r="BYR207" s="28"/>
      <c r="BYS207" s="28"/>
      <c r="BYT207" s="28"/>
      <c r="BYU207" s="28"/>
      <c r="BYV207" s="28"/>
      <c r="BYW207" s="28"/>
      <c r="BYX207" s="28"/>
      <c r="BYY207" s="28"/>
      <c r="BYZ207" s="28"/>
      <c r="BZA207" s="28"/>
      <c r="BZB207" s="28"/>
      <c r="BZC207" s="28"/>
      <c r="BZD207" s="28"/>
      <c r="BZE207" s="28"/>
      <c r="BZF207" s="28"/>
      <c r="BZG207" s="28"/>
      <c r="BZH207" s="28"/>
      <c r="BZI207" s="28"/>
      <c r="BZJ207" s="28"/>
      <c r="BZK207" s="28"/>
      <c r="BZL207" s="28"/>
      <c r="BZM207" s="28"/>
      <c r="BZN207" s="28"/>
      <c r="BZO207" s="28"/>
      <c r="BZP207" s="28"/>
      <c r="BZQ207" s="28"/>
      <c r="BZR207" s="28"/>
      <c r="BZS207" s="28"/>
      <c r="BZT207" s="28"/>
      <c r="BZU207" s="28"/>
      <c r="BZV207" s="28"/>
      <c r="BZW207" s="28"/>
      <c r="BZX207" s="28"/>
      <c r="BZY207" s="28"/>
      <c r="BZZ207" s="28"/>
      <c r="CAA207" s="28"/>
      <c r="CAB207" s="28"/>
      <c r="CAC207" s="28"/>
      <c r="CAD207" s="28"/>
      <c r="CAE207" s="28"/>
      <c r="CAF207" s="28"/>
      <c r="CAG207" s="28"/>
      <c r="CAH207" s="28"/>
      <c r="CAI207" s="28"/>
      <c r="CAJ207" s="28"/>
      <c r="CAK207" s="28"/>
      <c r="CAL207" s="28"/>
      <c r="CAM207" s="28"/>
      <c r="CAN207" s="28"/>
      <c r="CAO207" s="28"/>
      <c r="CAP207" s="28"/>
      <c r="CAQ207" s="28"/>
      <c r="CAR207" s="28"/>
      <c r="CAS207" s="28"/>
      <c r="CAT207" s="28"/>
      <c r="CAU207" s="28"/>
      <c r="CAV207" s="28"/>
      <c r="CAW207" s="28"/>
      <c r="CAX207" s="28"/>
      <c r="CAY207" s="28"/>
      <c r="CAZ207" s="28"/>
      <c r="CBA207" s="28"/>
      <c r="CBB207" s="28"/>
      <c r="CBC207" s="28"/>
      <c r="CBD207" s="28"/>
      <c r="CBE207" s="28"/>
      <c r="CBF207" s="28"/>
      <c r="CBG207" s="28"/>
      <c r="CBH207" s="28"/>
      <c r="CBI207" s="28"/>
      <c r="CBJ207" s="28"/>
      <c r="CBK207" s="28"/>
      <c r="CBL207" s="28"/>
      <c r="CBM207" s="28"/>
      <c r="CBN207" s="28"/>
      <c r="CBO207" s="28"/>
      <c r="CBP207" s="28"/>
      <c r="CBQ207" s="28"/>
      <c r="CBR207" s="28"/>
      <c r="CBS207" s="28"/>
      <c r="CBT207" s="28"/>
      <c r="CBU207" s="28"/>
      <c r="CBV207" s="28"/>
      <c r="CBW207" s="28"/>
      <c r="CBX207" s="28"/>
      <c r="CBY207" s="28"/>
      <c r="CBZ207" s="28"/>
      <c r="CCA207" s="28"/>
      <c r="CCB207" s="28"/>
      <c r="CCC207" s="28"/>
      <c r="CCD207" s="28"/>
      <c r="CCE207" s="28"/>
      <c r="CCF207" s="28"/>
      <c r="CCG207" s="28"/>
      <c r="CCH207" s="28"/>
      <c r="CCI207" s="28"/>
      <c r="CCJ207" s="28"/>
      <c r="CCK207" s="28"/>
      <c r="CCL207" s="28"/>
      <c r="CCM207" s="28"/>
      <c r="CCN207" s="28"/>
      <c r="CCO207" s="28"/>
      <c r="CCP207" s="28"/>
      <c r="CCQ207" s="28"/>
      <c r="CCR207" s="28"/>
      <c r="CCS207" s="28"/>
      <c r="CCT207" s="28"/>
      <c r="CCU207" s="28"/>
      <c r="CCV207" s="28"/>
      <c r="CCW207" s="28"/>
      <c r="CCX207" s="28"/>
      <c r="CCY207" s="28"/>
      <c r="CCZ207" s="28"/>
      <c r="CDA207" s="28"/>
      <c r="CDB207" s="28"/>
      <c r="CDC207" s="28"/>
      <c r="CDD207" s="28"/>
      <c r="CDE207" s="28"/>
      <c r="CDF207" s="28"/>
      <c r="CDG207" s="28"/>
      <c r="CDH207" s="28"/>
      <c r="CDI207" s="28"/>
      <c r="CDJ207" s="28"/>
      <c r="CDK207" s="28"/>
      <c r="CDL207" s="28"/>
      <c r="CDM207" s="28"/>
      <c r="CDN207" s="28"/>
      <c r="CDO207" s="28"/>
      <c r="CDP207" s="28"/>
      <c r="CDQ207" s="28"/>
      <c r="CDR207" s="28"/>
      <c r="CDS207" s="28"/>
      <c r="CDT207" s="28"/>
      <c r="CDU207" s="28"/>
      <c r="CDV207" s="28"/>
      <c r="CDW207" s="28"/>
      <c r="CDX207" s="28"/>
      <c r="CDY207" s="28"/>
      <c r="CDZ207" s="28"/>
      <c r="CEA207" s="28"/>
      <c r="CEB207" s="28"/>
      <c r="CEC207" s="28"/>
      <c r="CED207" s="28"/>
      <c r="CEE207" s="28"/>
      <c r="CEF207" s="28"/>
      <c r="CEG207" s="28"/>
      <c r="CEH207" s="28"/>
      <c r="CEI207" s="28"/>
      <c r="CEJ207" s="28"/>
      <c r="CEK207" s="28"/>
      <c r="CEL207" s="28"/>
      <c r="CEM207" s="28"/>
      <c r="CEN207" s="28"/>
      <c r="CEO207" s="28"/>
      <c r="CEP207" s="28"/>
      <c r="CEQ207" s="28"/>
      <c r="CER207" s="28"/>
      <c r="CES207" s="28"/>
      <c r="CET207" s="28"/>
      <c r="CEU207" s="28"/>
      <c r="CEV207" s="28"/>
      <c r="CEW207" s="28"/>
      <c r="CEX207" s="28"/>
      <c r="CEY207" s="28"/>
      <c r="CEZ207" s="28"/>
      <c r="CFA207" s="28"/>
      <c r="CFB207" s="28"/>
      <c r="CFC207" s="28"/>
      <c r="CFD207" s="28"/>
      <c r="CFE207" s="28"/>
      <c r="CFF207" s="28"/>
      <c r="CFG207" s="28"/>
      <c r="CFH207" s="28"/>
      <c r="CFI207" s="28"/>
      <c r="CFJ207" s="28"/>
      <c r="CFK207" s="28"/>
      <c r="CFL207" s="28"/>
      <c r="CFM207" s="28"/>
      <c r="CFN207" s="28"/>
      <c r="CFO207" s="28"/>
      <c r="CFP207" s="28"/>
      <c r="CFQ207" s="28"/>
      <c r="CFR207" s="28"/>
      <c r="CFS207" s="28"/>
      <c r="CFT207" s="28"/>
      <c r="CFU207" s="28"/>
      <c r="CFV207" s="28"/>
      <c r="CFW207" s="28"/>
      <c r="CFX207" s="28"/>
      <c r="CFY207" s="28"/>
      <c r="CFZ207" s="28"/>
      <c r="CGA207" s="28"/>
      <c r="CGB207" s="28"/>
      <c r="CGC207" s="28"/>
      <c r="CGD207" s="28"/>
      <c r="CGE207" s="28"/>
      <c r="CGF207" s="28"/>
      <c r="CGG207" s="28"/>
      <c r="CGH207" s="28"/>
      <c r="CGI207" s="28"/>
      <c r="CGJ207" s="28"/>
      <c r="CGK207" s="28"/>
      <c r="CGL207" s="28"/>
      <c r="CGM207" s="28"/>
      <c r="CGN207" s="28"/>
      <c r="CGO207" s="28"/>
      <c r="CGP207" s="28"/>
      <c r="CGQ207" s="28"/>
      <c r="CGR207" s="28"/>
      <c r="CGS207" s="28"/>
      <c r="CGT207" s="28"/>
      <c r="CGU207" s="28"/>
      <c r="CGV207" s="28"/>
      <c r="CGW207" s="28"/>
      <c r="CGX207" s="28"/>
      <c r="CGY207" s="28"/>
      <c r="CGZ207" s="28"/>
      <c r="CHA207" s="28"/>
      <c r="CHB207" s="28"/>
      <c r="CHC207" s="28"/>
      <c r="CHD207" s="28"/>
      <c r="CHE207" s="28"/>
      <c r="CHF207" s="28"/>
      <c r="CHG207" s="28"/>
      <c r="CHH207" s="28"/>
      <c r="CHI207" s="28"/>
      <c r="CHJ207" s="28"/>
      <c r="CHK207" s="28"/>
      <c r="CHL207" s="28"/>
      <c r="CHM207" s="28"/>
      <c r="CHN207" s="28"/>
      <c r="CHO207" s="28"/>
      <c r="CHP207" s="28"/>
      <c r="CHQ207" s="28"/>
      <c r="CHR207" s="28"/>
      <c r="CHS207" s="28"/>
      <c r="CHT207" s="28"/>
      <c r="CHU207" s="28"/>
      <c r="CHV207" s="28"/>
      <c r="CHW207" s="28"/>
      <c r="CHX207" s="28"/>
      <c r="CHY207" s="28"/>
      <c r="CHZ207" s="28"/>
      <c r="CIA207" s="28"/>
      <c r="CIB207" s="28"/>
      <c r="CIC207" s="28"/>
      <c r="CID207" s="28"/>
      <c r="CIE207" s="28"/>
      <c r="CIF207" s="28"/>
      <c r="CIG207" s="28"/>
      <c r="CIH207" s="28"/>
      <c r="CII207" s="28"/>
      <c r="CIJ207" s="28"/>
      <c r="CIK207" s="28"/>
      <c r="CIL207" s="28"/>
      <c r="CIM207" s="28"/>
      <c r="CIN207" s="28"/>
      <c r="CIO207" s="28"/>
      <c r="CIP207" s="28"/>
      <c r="CIQ207" s="28"/>
      <c r="CIR207" s="28"/>
      <c r="CIS207" s="28"/>
      <c r="CIT207" s="28"/>
      <c r="CIU207" s="28"/>
      <c r="CIV207" s="28"/>
      <c r="CIW207" s="28"/>
      <c r="CIX207" s="28"/>
      <c r="CIY207" s="28"/>
      <c r="CIZ207" s="28"/>
      <c r="CJA207" s="28"/>
      <c r="CJB207" s="28"/>
      <c r="CJC207" s="28"/>
      <c r="CJD207" s="28"/>
      <c r="CJE207" s="28"/>
      <c r="CJF207" s="28"/>
      <c r="CJG207" s="28"/>
      <c r="CJH207" s="28"/>
      <c r="CJI207" s="28"/>
      <c r="CJJ207" s="28"/>
      <c r="CJK207" s="28"/>
      <c r="CJL207" s="28"/>
      <c r="CJM207" s="28"/>
      <c r="CJN207" s="28"/>
      <c r="CJO207" s="28"/>
      <c r="CJP207" s="28"/>
      <c r="CJQ207" s="28"/>
      <c r="CJR207" s="28"/>
      <c r="CJS207" s="28"/>
      <c r="CJT207" s="28"/>
      <c r="CJU207" s="28"/>
      <c r="CJV207" s="28"/>
      <c r="CJW207" s="28"/>
      <c r="CJX207" s="28"/>
      <c r="CJY207" s="28"/>
      <c r="CJZ207" s="28"/>
      <c r="CKA207" s="28"/>
      <c r="CKB207" s="28"/>
      <c r="CKC207" s="28"/>
      <c r="CKD207" s="28"/>
      <c r="CKE207" s="28"/>
      <c r="CKF207" s="28"/>
      <c r="CKG207" s="28"/>
      <c r="CKH207" s="28"/>
      <c r="CKI207" s="28"/>
      <c r="CKJ207" s="28"/>
      <c r="CKK207" s="28"/>
      <c r="CKL207" s="28"/>
      <c r="CKM207" s="28"/>
      <c r="CKN207" s="28"/>
      <c r="CKO207" s="28"/>
      <c r="CKP207" s="28"/>
      <c r="CKQ207" s="28"/>
      <c r="CKR207" s="28"/>
      <c r="CKS207" s="28"/>
      <c r="CKT207" s="28"/>
      <c r="CKU207" s="28"/>
      <c r="CKV207" s="28"/>
      <c r="CKW207" s="28"/>
      <c r="CKX207" s="28"/>
      <c r="CKY207" s="28"/>
      <c r="CKZ207" s="28"/>
      <c r="CLA207" s="28"/>
      <c r="CLB207" s="28"/>
      <c r="CLC207" s="28"/>
      <c r="CLD207" s="28"/>
      <c r="CLE207" s="28"/>
      <c r="CLF207" s="28"/>
      <c r="CLG207" s="28"/>
      <c r="CLH207" s="28"/>
      <c r="CLI207" s="28"/>
      <c r="CLJ207" s="28"/>
      <c r="CLK207" s="28"/>
      <c r="CLL207" s="28"/>
      <c r="CLM207" s="28"/>
      <c r="CLN207" s="28"/>
      <c r="CLO207" s="28"/>
      <c r="CLP207" s="28"/>
      <c r="CLQ207" s="28"/>
      <c r="CLR207" s="28"/>
      <c r="CLS207" s="28"/>
      <c r="CLT207" s="28"/>
      <c r="CLU207" s="28"/>
      <c r="CLV207" s="28"/>
      <c r="CLW207" s="28"/>
      <c r="CLX207" s="28"/>
      <c r="CLY207" s="28"/>
      <c r="CLZ207" s="28"/>
      <c r="CMA207" s="28"/>
      <c r="CMB207" s="28"/>
      <c r="CMC207" s="28"/>
      <c r="CMD207" s="28"/>
      <c r="CME207" s="28"/>
      <c r="CMF207" s="28"/>
      <c r="CMG207" s="28"/>
      <c r="CMH207" s="28"/>
      <c r="CMI207" s="28"/>
      <c r="CMJ207" s="28"/>
      <c r="CMK207" s="28"/>
      <c r="CML207" s="28"/>
      <c r="CMM207" s="28"/>
      <c r="CMN207" s="28"/>
      <c r="CMO207" s="28"/>
      <c r="CMP207" s="28"/>
      <c r="CMQ207" s="28"/>
      <c r="CMR207" s="28"/>
      <c r="CMS207" s="28"/>
      <c r="CMT207" s="28"/>
      <c r="CMU207" s="28"/>
      <c r="CMV207" s="28"/>
      <c r="CMW207" s="28"/>
      <c r="CMX207" s="28"/>
      <c r="CMY207" s="28"/>
      <c r="CMZ207" s="28"/>
      <c r="CNA207" s="28"/>
      <c r="CNB207" s="28"/>
      <c r="CNC207" s="28"/>
      <c r="CND207" s="28"/>
      <c r="CNE207" s="28"/>
      <c r="CNF207" s="28"/>
      <c r="CNG207" s="28"/>
      <c r="CNH207" s="28"/>
      <c r="CNI207" s="28"/>
      <c r="CNJ207" s="28"/>
      <c r="CNK207" s="28"/>
      <c r="CNL207" s="28"/>
      <c r="CNM207" s="28"/>
      <c r="CNN207" s="28"/>
      <c r="CNO207" s="28"/>
      <c r="CNP207" s="28"/>
      <c r="CNQ207" s="28"/>
      <c r="CNR207" s="28"/>
      <c r="CNS207" s="28"/>
      <c r="CNT207" s="28"/>
      <c r="CNU207" s="28"/>
      <c r="CNV207" s="28"/>
      <c r="CNW207" s="28"/>
      <c r="CNX207" s="28"/>
      <c r="CNY207" s="28"/>
      <c r="CNZ207" s="28"/>
      <c r="COA207" s="28"/>
      <c r="COB207" s="28"/>
      <c r="COC207" s="28"/>
      <c r="COD207" s="28"/>
      <c r="COE207" s="28"/>
      <c r="COF207" s="28"/>
      <c r="COG207" s="28"/>
      <c r="COH207" s="28"/>
      <c r="COI207" s="28"/>
      <c r="COJ207" s="28"/>
      <c r="COK207" s="28"/>
      <c r="COL207" s="28"/>
      <c r="COM207" s="28"/>
      <c r="CON207" s="28"/>
      <c r="COO207" s="28"/>
      <c r="COP207" s="28"/>
      <c r="COQ207" s="28"/>
      <c r="COR207" s="28"/>
      <c r="COS207" s="28"/>
      <c r="COT207" s="28"/>
      <c r="COU207" s="28"/>
      <c r="COV207" s="28"/>
      <c r="COW207" s="28"/>
      <c r="COX207" s="28"/>
      <c r="COY207" s="28"/>
      <c r="COZ207" s="28"/>
      <c r="CPA207" s="28"/>
      <c r="CPB207" s="28"/>
      <c r="CPC207" s="28"/>
      <c r="CPD207" s="28"/>
      <c r="CPE207" s="28"/>
      <c r="CPF207" s="28"/>
      <c r="CPG207" s="28"/>
      <c r="CPH207" s="28"/>
      <c r="CPI207" s="28"/>
      <c r="CPJ207" s="28"/>
      <c r="CPK207" s="28"/>
      <c r="CPL207" s="28"/>
      <c r="CPM207" s="28"/>
      <c r="CPN207" s="28"/>
      <c r="CPO207" s="28"/>
      <c r="CPP207" s="28"/>
      <c r="CPQ207" s="28"/>
      <c r="CPR207" s="28"/>
      <c r="CPS207" s="28"/>
      <c r="CPT207" s="28"/>
      <c r="CPU207" s="28"/>
      <c r="CPV207" s="28"/>
      <c r="CPW207" s="28"/>
      <c r="CPX207" s="28"/>
      <c r="CPY207" s="28"/>
      <c r="CPZ207" s="28"/>
      <c r="CQA207" s="28"/>
      <c r="CQB207" s="28"/>
      <c r="CQC207" s="28"/>
      <c r="CQD207" s="28"/>
      <c r="CQE207" s="28"/>
      <c r="CQF207" s="28"/>
      <c r="CQG207" s="28"/>
      <c r="CQH207" s="28"/>
      <c r="CQI207" s="28"/>
      <c r="CQJ207" s="28"/>
      <c r="CQK207" s="28"/>
      <c r="CQL207" s="28"/>
      <c r="CQM207" s="28"/>
      <c r="CQN207" s="28"/>
      <c r="CQO207" s="28"/>
      <c r="CQP207" s="28"/>
      <c r="CQQ207" s="28"/>
      <c r="CQR207" s="28"/>
      <c r="CQS207" s="28"/>
      <c r="CQT207" s="28"/>
      <c r="CQU207" s="28"/>
      <c r="CQV207" s="28"/>
      <c r="CQW207" s="28"/>
      <c r="CQX207" s="28"/>
      <c r="CQY207" s="28"/>
      <c r="CQZ207" s="28"/>
      <c r="CRA207" s="28"/>
      <c r="CRB207" s="28"/>
      <c r="CRC207" s="28"/>
      <c r="CRD207" s="28"/>
      <c r="CRE207" s="28"/>
      <c r="CRF207" s="28"/>
      <c r="CRG207" s="28"/>
      <c r="CRH207" s="28"/>
      <c r="CRI207" s="28"/>
      <c r="CRJ207" s="28"/>
      <c r="CRK207" s="28"/>
      <c r="CRL207" s="28"/>
      <c r="CRM207" s="28"/>
      <c r="CRN207" s="28"/>
      <c r="CRO207" s="28"/>
      <c r="CRP207" s="28"/>
      <c r="CRQ207" s="28"/>
      <c r="CRR207" s="28"/>
      <c r="CRS207" s="28"/>
      <c r="CRT207" s="28"/>
      <c r="CRU207" s="28"/>
      <c r="CRV207" s="28"/>
      <c r="CRW207" s="28"/>
      <c r="CRX207" s="28"/>
      <c r="CRY207" s="28"/>
      <c r="CRZ207" s="28"/>
      <c r="CSA207" s="28"/>
      <c r="CSB207" s="28"/>
      <c r="CSC207" s="28"/>
      <c r="CSD207" s="28"/>
      <c r="CSE207" s="28"/>
      <c r="CSF207" s="28"/>
      <c r="CSG207" s="28"/>
      <c r="CSH207" s="28"/>
      <c r="CSI207" s="28"/>
      <c r="CSJ207" s="28"/>
      <c r="CSK207" s="28"/>
      <c r="CSL207" s="28"/>
      <c r="CSM207" s="28"/>
      <c r="CSN207" s="28"/>
      <c r="CSO207" s="28"/>
      <c r="CSP207" s="28"/>
      <c r="CSQ207" s="28"/>
      <c r="CSR207" s="28"/>
      <c r="CSS207" s="28"/>
      <c r="CST207" s="28"/>
      <c r="CSU207" s="28"/>
      <c r="CSV207" s="28"/>
      <c r="CSW207" s="28"/>
      <c r="CSX207" s="28"/>
      <c r="CSY207" s="28"/>
      <c r="CSZ207" s="28"/>
      <c r="CTA207" s="28"/>
      <c r="CTB207" s="28"/>
      <c r="CTC207" s="28"/>
      <c r="CTD207" s="28"/>
      <c r="CTE207" s="28"/>
      <c r="CTF207" s="28"/>
      <c r="CTG207" s="28"/>
      <c r="CTH207" s="28"/>
      <c r="CTI207" s="28"/>
      <c r="CTJ207" s="28"/>
      <c r="CTK207" s="28"/>
      <c r="CTL207" s="28"/>
      <c r="CTM207" s="28"/>
      <c r="CTN207" s="28"/>
      <c r="CTO207" s="28"/>
      <c r="CTP207" s="28"/>
      <c r="CTQ207" s="28"/>
      <c r="CTR207" s="28"/>
      <c r="CTS207" s="28"/>
      <c r="CTT207" s="28"/>
      <c r="CTU207" s="28"/>
      <c r="CTV207" s="28"/>
      <c r="CTW207" s="28"/>
      <c r="CTX207" s="28"/>
      <c r="CTY207" s="28"/>
      <c r="CTZ207" s="28"/>
      <c r="CUA207" s="28"/>
      <c r="CUB207" s="28"/>
      <c r="CUC207" s="28"/>
      <c r="CUD207" s="28"/>
      <c r="CUE207" s="28"/>
      <c r="CUF207" s="28"/>
      <c r="CUG207" s="28"/>
      <c r="CUH207" s="28"/>
      <c r="CUI207" s="28"/>
      <c r="CUJ207" s="28"/>
      <c r="CUK207" s="28"/>
      <c r="CUL207" s="28"/>
      <c r="CUM207" s="28"/>
      <c r="CUN207" s="28"/>
      <c r="CUO207" s="28"/>
      <c r="CUP207" s="28"/>
      <c r="CUQ207" s="28"/>
      <c r="CUR207" s="28"/>
      <c r="CUS207" s="28"/>
      <c r="CUT207" s="28"/>
      <c r="CUU207" s="28"/>
      <c r="CUV207" s="28"/>
      <c r="CUW207" s="28"/>
      <c r="CUX207" s="28"/>
      <c r="CUY207" s="28"/>
      <c r="CUZ207" s="28"/>
      <c r="CVA207" s="28"/>
      <c r="CVB207" s="28"/>
      <c r="CVC207" s="28"/>
      <c r="CVD207" s="28"/>
      <c r="CVE207" s="28"/>
      <c r="CVF207" s="28"/>
      <c r="CVG207" s="28"/>
      <c r="CVH207" s="28"/>
      <c r="CVI207" s="28"/>
      <c r="CVJ207" s="28"/>
      <c r="CVK207" s="28"/>
      <c r="CVL207" s="28"/>
      <c r="CVM207" s="28"/>
      <c r="CVN207" s="28"/>
      <c r="CVO207" s="28"/>
      <c r="CVP207" s="28"/>
      <c r="CVQ207" s="28"/>
      <c r="CVR207" s="28"/>
      <c r="CVS207" s="28"/>
      <c r="CVT207" s="28"/>
      <c r="CVU207" s="28"/>
      <c r="CVV207" s="28"/>
      <c r="CVW207" s="28"/>
      <c r="CVX207" s="28"/>
      <c r="CVY207" s="28"/>
      <c r="CVZ207" s="28"/>
      <c r="CWA207" s="28"/>
      <c r="CWB207" s="28"/>
      <c r="CWC207" s="28"/>
      <c r="CWD207" s="28"/>
      <c r="CWE207" s="28"/>
      <c r="CWF207" s="28"/>
      <c r="CWG207" s="28"/>
      <c r="CWH207" s="28"/>
      <c r="CWI207" s="28"/>
      <c r="CWJ207" s="28"/>
      <c r="CWK207" s="28"/>
      <c r="CWL207" s="28"/>
      <c r="CWM207" s="28"/>
      <c r="CWN207" s="28"/>
      <c r="CWO207" s="28"/>
      <c r="CWP207" s="28"/>
      <c r="CWQ207" s="28"/>
      <c r="CWR207" s="28"/>
      <c r="CWS207" s="28"/>
      <c r="CWT207" s="28"/>
      <c r="CWU207" s="28"/>
      <c r="CWV207" s="28"/>
      <c r="CWW207" s="28"/>
      <c r="CWX207" s="28"/>
      <c r="CWY207" s="28"/>
      <c r="CWZ207" s="28"/>
      <c r="CXA207" s="28"/>
      <c r="CXB207" s="28"/>
      <c r="CXC207" s="28"/>
      <c r="CXD207" s="28"/>
      <c r="CXE207" s="28"/>
      <c r="CXF207" s="28"/>
      <c r="CXG207" s="28"/>
      <c r="CXH207" s="28"/>
      <c r="CXI207" s="28"/>
      <c r="CXJ207" s="28"/>
      <c r="CXK207" s="28"/>
      <c r="CXL207" s="28"/>
      <c r="CXM207" s="28"/>
      <c r="CXN207" s="28"/>
      <c r="CXO207" s="28"/>
      <c r="CXP207" s="28"/>
      <c r="CXQ207" s="28"/>
      <c r="CXR207" s="28"/>
      <c r="CXS207" s="28"/>
      <c r="CXT207" s="28"/>
      <c r="CXU207" s="28"/>
      <c r="CXV207" s="28"/>
      <c r="CXW207" s="28"/>
      <c r="CXX207" s="28"/>
      <c r="CXY207" s="28"/>
      <c r="CXZ207" s="28"/>
      <c r="CYA207" s="28"/>
      <c r="CYB207" s="28"/>
      <c r="CYC207" s="28"/>
      <c r="CYD207" s="28"/>
      <c r="CYE207" s="28"/>
      <c r="CYF207" s="28"/>
      <c r="CYG207" s="28"/>
      <c r="CYH207" s="28"/>
      <c r="CYI207" s="28"/>
      <c r="CYJ207" s="28"/>
      <c r="CYK207" s="28"/>
      <c r="CYL207" s="28"/>
      <c r="CYM207" s="28"/>
      <c r="CYN207" s="28"/>
      <c r="CYO207" s="28"/>
      <c r="CYP207" s="28"/>
      <c r="CYQ207" s="28"/>
      <c r="CYR207" s="28"/>
      <c r="CYS207" s="28"/>
      <c r="CYT207" s="28"/>
      <c r="CYU207" s="28"/>
      <c r="CYV207" s="28"/>
      <c r="CYW207" s="28"/>
      <c r="CYX207" s="28"/>
      <c r="CYY207" s="28"/>
      <c r="CYZ207" s="28"/>
      <c r="CZA207" s="28"/>
      <c r="CZB207" s="28"/>
      <c r="CZC207" s="28"/>
      <c r="CZD207" s="28"/>
      <c r="CZE207" s="28"/>
      <c r="CZF207" s="28"/>
      <c r="CZG207" s="28"/>
      <c r="CZH207" s="28"/>
      <c r="CZI207" s="28"/>
      <c r="CZJ207" s="28"/>
      <c r="CZK207" s="28"/>
      <c r="CZL207" s="28"/>
      <c r="CZM207" s="28"/>
      <c r="CZN207" s="28"/>
      <c r="CZO207" s="28"/>
      <c r="CZP207" s="28"/>
      <c r="CZQ207" s="28"/>
      <c r="CZR207" s="28"/>
      <c r="CZS207" s="28"/>
      <c r="CZT207" s="28"/>
      <c r="CZU207" s="28"/>
      <c r="CZV207" s="28"/>
      <c r="CZW207" s="28"/>
      <c r="CZX207" s="28"/>
      <c r="CZY207" s="28"/>
      <c r="CZZ207" s="28"/>
      <c r="DAA207" s="28"/>
      <c r="DAB207" s="28"/>
      <c r="DAC207" s="28"/>
      <c r="DAD207" s="28"/>
      <c r="DAE207" s="28"/>
      <c r="DAF207" s="28"/>
      <c r="DAG207" s="28"/>
      <c r="DAH207" s="28"/>
      <c r="DAI207" s="28"/>
      <c r="DAJ207" s="28"/>
      <c r="DAK207" s="28"/>
      <c r="DAL207" s="28"/>
      <c r="DAM207" s="28"/>
      <c r="DAN207" s="28"/>
      <c r="DAO207" s="28"/>
      <c r="DAP207" s="28"/>
      <c r="DAQ207" s="28"/>
      <c r="DAR207" s="28"/>
      <c r="DAS207" s="28"/>
      <c r="DAT207" s="28"/>
      <c r="DAU207" s="28"/>
      <c r="DAV207" s="28"/>
      <c r="DAW207" s="28"/>
      <c r="DAX207" s="28"/>
      <c r="DAY207" s="28"/>
      <c r="DAZ207" s="28"/>
      <c r="DBA207" s="28"/>
      <c r="DBB207" s="28"/>
      <c r="DBC207" s="28"/>
      <c r="DBD207" s="28"/>
      <c r="DBE207" s="28"/>
      <c r="DBF207" s="28"/>
      <c r="DBG207" s="28"/>
      <c r="DBH207" s="28"/>
      <c r="DBI207" s="28"/>
      <c r="DBJ207" s="28"/>
      <c r="DBK207" s="28"/>
      <c r="DBL207" s="28"/>
      <c r="DBM207" s="28"/>
      <c r="DBN207" s="28"/>
      <c r="DBO207" s="28"/>
      <c r="DBP207" s="28"/>
      <c r="DBQ207" s="28"/>
      <c r="DBR207" s="28"/>
      <c r="DBS207" s="28"/>
      <c r="DBT207" s="28"/>
      <c r="DBU207" s="28"/>
      <c r="DBV207" s="28"/>
      <c r="DBW207" s="28"/>
      <c r="DBX207" s="28"/>
      <c r="DBY207" s="28"/>
      <c r="DBZ207" s="28"/>
      <c r="DCA207" s="28"/>
      <c r="DCB207" s="28"/>
      <c r="DCC207" s="28"/>
      <c r="DCD207" s="28"/>
      <c r="DCE207" s="28"/>
      <c r="DCF207" s="28"/>
      <c r="DCG207" s="28"/>
      <c r="DCH207" s="28"/>
      <c r="DCI207" s="28"/>
      <c r="DCJ207" s="28"/>
      <c r="DCK207" s="28"/>
      <c r="DCL207" s="28"/>
      <c r="DCM207" s="28"/>
      <c r="DCN207" s="28"/>
      <c r="DCO207" s="28"/>
      <c r="DCP207" s="28"/>
      <c r="DCQ207" s="28"/>
      <c r="DCR207" s="28"/>
      <c r="DCS207" s="28"/>
      <c r="DCT207" s="28"/>
      <c r="DCU207" s="28"/>
      <c r="DCV207" s="28"/>
      <c r="DCW207" s="28"/>
      <c r="DCX207" s="28"/>
      <c r="DCY207" s="28"/>
      <c r="DCZ207" s="28"/>
      <c r="DDA207" s="28"/>
      <c r="DDB207" s="28"/>
      <c r="DDC207" s="28"/>
      <c r="DDD207" s="28"/>
      <c r="DDE207" s="28"/>
      <c r="DDF207" s="28"/>
      <c r="DDG207" s="28"/>
      <c r="DDH207" s="28"/>
      <c r="DDI207" s="28"/>
      <c r="DDJ207" s="28"/>
      <c r="DDK207" s="28"/>
      <c r="DDL207" s="28"/>
      <c r="DDM207" s="28"/>
      <c r="DDN207" s="28"/>
      <c r="DDO207" s="28"/>
      <c r="DDP207" s="28"/>
      <c r="DDQ207" s="28"/>
      <c r="DDR207" s="28"/>
      <c r="DDS207" s="28"/>
      <c r="DDT207" s="28"/>
      <c r="DDU207" s="28"/>
      <c r="DDV207" s="28"/>
      <c r="DDW207" s="28"/>
      <c r="DDX207" s="28"/>
      <c r="DDY207" s="28"/>
      <c r="DDZ207" s="28"/>
      <c r="DEA207" s="28"/>
      <c r="DEB207" s="28"/>
      <c r="DEC207" s="28"/>
      <c r="DED207" s="28"/>
      <c r="DEE207" s="28"/>
      <c r="DEF207" s="28"/>
      <c r="DEG207" s="28"/>
      <c r="DEH207" s="28"/>
      <c r="DEI207" s="28"/>
      <c r="DEJ207" s="28"/>
      <c r="DEK207" s="28"/>
      <c r="DEL207" s="28"/>
      <c r="DEM207" s="28"/>
      <c r="DEN207" s="28"/>
      <c r="DEO207" s="28"/>
      <c r="DEP207" s="28"/>
      <c r="DEQ207" s="28"/>
      <c r="DER207" s="28"/>
      <c r="DES207" s="28"/>
      <c r="DET207" s="28"/>
      <c r="DEU207" s="28"/>
      <c r="DEV207" s="28"/>
      <c r="DEW207" s="28"/>
      <c r="DEX207" s="28"/>
      <c r="DEY207" s="28"/>
      <c r="DEZ207" s="28"/>
      <c r="DFA207" s="28"/>
      <c r="DFB207" s="28"/>
      <c r="DFC207" s="28"/>
      <c r="DFD207" s="28"/>
      <c r="DFE207" s="28"/>
      <c r="DFF207" s="28"/>
      <c r="DFG207" s="28"/>
      <c r="DFH207" s="28"/>
      <c r="DFI207" s="28"/>
      <c r="DFJ207" s="28"/>
      <c r="DFK207" s="28"/>
      <c r="DFL207" s="28"/>
      <c r="DFM207" s="28"/>
      <c r="DFN207" s="28"/>
      <c r="DFO207" s="28"/>
      <c r="DFP207" s="28"/>
      <c r="DFQ207" s="28"/>
      <c r="DFR207" s="28"/>
      <c r="DFS207" s="28"/>
      <c r="DFT207" s="28"/>
      <c r="DFU207" s="28"/>
      <c r="DFV207" s="28"/>
      <c r="DFW207" s="28"/>
      <c r="DFX207" s="28"/>
      <c r="DFY207" s="28"/>
      <c r="DFZ207" s="28"/>
      <c r="DGA207" s="28"/>
      <c r="DGB207" s="28"/>
      <c r="DGC207" s="28"/>
      <c r="DGD207" s="28"/>
      <c r="DGE207" s="28"/>
      <c r="DGF207" s="28"/>
      <c r="DGG207" s="28"/>
      <c r="DGH207" s="28"/>
      <c r="DGI207" s="28"/>
      <c r="DGJ207" s="28"/>
      <c r="DGK207" s="28"/>
      <c r="DGL207" s="28"/>
      <c r="DGM207" s="28"/>
      <c r="DGN207" s="28"/>
      <c r="DGO207" s="28"/>
      <c r="DGP207" s="28"/>
      <c r="DGQ207" s="28"/>
      <c r="DGR207" s="28"/>
      <c r="DGS207" s="28"/>
      <c r="DGT207" s="28"/>
      <c r="DGU207" s="28"/>
      <c r="DGV207" s="28"/>
      <c r="DGW207" s="28"/>
      <c r="DGX207" s="28"/>
      <c r="DGY207" s="28"/>
      <c r="DGZ207" s="28"/>
      <c r="DHA207" s="28"/>
      <c r="DHB207" s="28"/>
      <c r="DHC207" s="28"/>
      <c r="DHD207" s="28"/>
      <c r="DHE207" s="28"/>
      <c r="DHF207" s="28"/>
      <c r="DHG207" s="28"/>
      <c r="DHH207" s="28"/>
      <c r="DHI207" s="28"/>
      <c r="DHJ207" s="28"/>
      <c r="DHK207" s="28"/>
      <c r="DHL207" s="28"/>
      <c r="DHM207" s="28"/>
      <c r="DHN207" s="28"/>
      <c r="DHO207" s="28"/>
      <c r="DHP207" s="28"/>
      <c r="DHQ207" s="28"/>
      <c r="DHR207" s="28"/>
      <c r="DHS207" s="28"/>
      <c r="DHT207" s="28"/>
      <c r="DHU207" s="28"/>
      <c r="DHV207" s="28"/>
      <c r="DHW207" s="28"/>
      <c r="DHX207" s="28"/>
      <c r="DHY207" s="28"/>
      <c r="DHZ207" s="28"/>
      <c r="DIA207" s="28"/>
      <c r="DIB207" s="28"/>
      <c r="DIC207" s="28"/>
      <c r="DID207" s="28"/>
      <c r="DIE207" s="28"/>
      <c r="DIF207" s="28"/>
      <c r="DIG207" s="28"/>
      <c r="DIH207" s="28"/>
      <c r="DII207" s="28"/>
      <c r="DIJ207" s="28"/>
      <c r="DIK207" s="28"/>
      <c r="DIL207" s="28"/>
      <c r="DIM207" s="28"/>
      <c r="DIN207" s="28"/>
      <c r="DIO207" s="28"/>
      <c r="DIP207" s="28"/>
      <c r="DIQ207" s="28"/>
      <c r="DIR207" s="28"/>
      <c r="DIS207" s="28"/>
      <c r="DIT207" s="28"/>
      <c r="DIU207" s="28"/>
      <c r="DIV207" s="28"/>
      <c r="DIW207" s="28"/>
      <c r="DIX207" s="28"/>
      <c r="DIY207" s="28"/>
      <c r="DIZ207" s="28"/>
      <c r="DJA207" s="28"/>
      <c r="DJB207" s="28"/>
      <c r="DJC207" s="28"/>
      <c r="DJD207" s="28"/>
      <c r="DJE207" s="28"/>
      <c r="DJF207" s="28"/>
      <c r="DJG207" s="28"/>
      <c r="DJH207" s="28"/>
      <c r="DJI207" s="28"/>
      <c r="DJJ207" s="28"/>
      <c r="DJK207" s="28"/>
      <c r="DJL207" s="28"/>
      <c r="DJM207" s="28"/>
      <c r="DJN207" s="28"/>
      <c r="DJO207" s="28"/>
      <c r="DJP207" s="28"/>
      <c r="DJQ207" s="28"/>
      <c r="DJR207" s="28"/>
      <c r="DJS207" s="28"/>
      <c r="DJT207" s="28"/>
      <c r="DJU207" s="28"/>
      <c r="DJV207" s="28"/>
      <c r="DJW207" s="28"/>
      <c r="DJX207" s="28"/>
      <c r="DJY207" s="28"/>
      <c r="DJZ207" s="28"/>
      <c r="DKA207" s="28"/>
      <c r="DKB207" s="28"/>
      <c r="DKC207" s="28"/>
      <c r="DKD207" s="28"/>
      <c r="DKE207" s="28"/>
      <c r="DKF207" s="28"/>
      <c r="DKG207" s="28"/>
      <c r="DKH207" s="28"/>
      <c r="DKI207" s="28"/>
      <c r="DKJ207" s="28"/>
      <c r="DKK207" s="28"/>
      <c r="DKL207" s="28"/>
      <c r="DKM207" s="28"/>
      <c r="DKN207" s="28"/>
      <c r="DKO207" s="28"/>
      <c r="DKP207" s="28"/>
      <c r="DKQ207" s="28"/>
      <c r="DKR207" s="28"/>
      <c r="DKS207" s="28"/>
      <c r="DKT207" s="28"/>
      <c r="DKU207" s="28"/>
      <c r="DKV207" s="28"/>
      <c r="DKW207" s="28"/>
      <c r="DKX207" s="28"/>
      <c r="DKY207" s="28"/>
      <c r="DKZ207" s="28"/>
      <c r="DLA207" s="28"/>
      <c r="DLB207" s="28"/>
      <c r="DLC207" s="28"/>
      <c r="DLD207" s="28"/>
      <c r="DLE207" s="28"/>
      <c r="DLF207" s="28"/>
      <c r="DLG207" s="28"/>
      <c r="DLH207" s="28"/>
      <c r="DLI207" s="28"/>
      <c r="DLJ207" s="28"/>
      <c r="DLK207" s="28"/>
      <c r="DLL207" s="28"/>
      <c r="DLM207" s="28"/>
      <c r="DLN207" s="28"/>
      <c r="DLO207" s="28"/>
      <c r="DLP207" s="28"/>
      <c r="DLQ207" s="28"/>
      <c r="DLR207" s="28"/>
      <c r="DLS207" s="28"/>
      <c r="DLT207" s="28"/>
      <c r="DLU207" s="28"/>
      <c r="DLV207" s="28"/>
      <c r="DLW207" s="28"/>
      <c r="DLX207" s="28"/>
      <c r="DLY207" s="28"/>
      <c r="DLZ207" s="28"/>
      <c r="DMA207" s="28"/>
      <c r="DMB207" s="28"/>
      <c r="DMC207" s="28"/>
      <c r="DMD207" s="28"/>
      <c r="DME207" s="28"/>
      <c r="DMF207" s="28"/>
      <c r="DMG207" s="28"/>
      <c r="DMH207" s="28"/>
      <c r="DMI207" s="28"/>
      <c r="DMJ207" s="28"/>
      <c r="DMK207" s="28"/>
      <c r="DML207" s="28"/>
      <c r="DMM207" s="28"/>
      <c r="DMN207" s="28"/>
      <c r="DMO207" s="28"/>
      <c r="DMP207" s="28"/>
      <c r="DMQ207" s="28"/>
      <c r="DMR207" s="28"/>
      <c r="DMS207" s="28"/>
      <c r="DMT207" s="28"/>
      <c r="DMU207" s="28"/>
      <c r="DMV207" s="28"/>
      <c r="DMW207" s="28"/>
      <c r="DMX207" s="28"/>
      <c r="DMY207" s="28"/>
      <c r="DMZ207" s="28"/>
      <c r="DNA207" s="28"/>
      <c r="DNB207" s="28"/>
      <c r="DNC207" s="28"/>
      <c r="DND207" s="28"/>
      <c r="DNE207" s="28"/>
      <c r="DNF207" s="28"/>
      <c r="DNG207" s="28"/>
      <c r="DNH207" s="28"/>
      <c r="DNI207" s="28"/>
      <c r="DNJ207" s="28"/>
      <c r="DNK207" s="28"/>
      <c r="DNL207" s="28"/>
      <c r="DNM207" s="28"/>
      <c r="DNN207" s="28"/>
      <c r="DNO207" s="28"/>
      <c r="DNP207" s="28"/>
      <c r="DNQ207" s="28"/>
      <c r="DNR207" s="28"/>
      <c r="DNS207" s="28"/>
      <c r="DNT207" s="28"/>
      <c r="DNU207" s="28"/>
      <c r="DNV207" s="28"/>
      <c r="DNW207" s="28"/>
      <c r="DNX207" s="28"/>
      <c r="DNY207" s="28"/>
      <c r="DNZ207" s="28"/>
      <c r="DOA207" s="28"/>
      <c r="DOB207" s="28"/>
      <c r="DOC207" s="28"/>
      <c r="DOD207" s="28"/>
      <c r="DOE207" s="28"/>
      <c r="DOF207" s="28"/>
      <c r="DOG207" s="28"/>
      <c r="DOH207" s="28"/>
      <c r="DOI207" s="28"/>
      <c r="DOJ207" s="28"/>
      <c r="DOK207" s="28"/>
      <c r="DOL207" s="28"/>
      <c r="DOM207" s="28"/>
      <c r="DON207" s="28"/>
      <c r="DOO207" s="28"/>
      <c r="DOP207" s="28"/>
      <c r="DOQ207" s="28"/>
      <c r="DOR207" s="28"/>
      <c r="DOS207" s="28"/>
      <c r="DOT207" s="28"/>
      <c r="DOU207" s="28"/>
      <c r="DOV207" s="28"/>
      <c r="DOW207" s="28"/>
      <c r="DOX207" s="28"/>
      <c r="DOY207" s="28"/>
      <c r="DOZ207" s="28"/>
      <c r="DPA207" s="28"/>
      <c r="DPB207" s="28"/>
      <c r="DPC207" s="28"/>
      <c r="DPD207" s="28"/>
      <c r="DPE207" s="28"/>
      <c r="DPF207" s="28"/>
      <c r="DPG207" s="28"/>
      <c r="DPH207" s="28"/>
      <c r="DPI207" s="28"/>
      <c r="DPJ207" s="28"/>
      <c r="DPK207" s="28"/>
      <c r="DPL207" s="28"/>
      <c r="DPM207" s="28"/>
      <c r="DPN207" s="28"/>
      <c r="DPO207" s="28"/>
      <c r="DPP207" s="28"/>
      <c r="DPQ207" s="28"/>
      <c r="DPR207" s="28"/>
      <c r="DPS207" s="28"/>
      <c r="DPT207" s="28"/>
      <c r="DPU207" s="28"/>
      <c r="DPV207" s="28"/>
      <c r="DPW207" s="28"/>
      <c r="DPX207" s="28"/>
      <c r="DPY207" s="28"/>
      <c r="DPZ207" s="28"/>
      <c r="DQA207" s="28"/>
      <c r="DQB207" s="28"/>
      <c r="DQC207" s="28"/>
      <c r="DQD207" s="28"/>
      <c r="DQE207" s="28"/>
      <c r="DQF207" s="28"/>
      <c r="DQG207" s="28"/>
      <c r="DQH207" s="28"/>
      <c r="DQI207" s="28"/>
      <c r="DQJ207" s="28"/>
      <c r="DQK207" s="28"/>
      <c r="DQL207" s="28"/>
      <c r="DQM207" s="28"/>
      <c r="DQN207" s="28"/>
      <c r="DQO207" s="28"/>
      <c r="DQP207" s="28"/>
      <c r="DQQ207" s="28"/>
      <c r="DQR207" s="28"/>
      <c r="DQS207" s="28"/>
      <c r="DQT207" s="28"/>
      <c r="DQU207" s="28"/>
      <c r="DQV207" s="28"/>
      <c r="DQW207" s="28"/>
      <c r="DQX207" s="28"/>
      <c r="DQY207" s="28"/>
      <c r="DQZ207" s="28"/>
      <c r="DRA207" s="28"/>
      <c r="DRB207" s="28"/>
      <c r="DRC207" s="28"/>
      <c r="DRD207" s="28"/>
      <c r="DRE207" s="28"/>
      <c r="DRF207" s="28"/>
      <c r="DRG207" s="28"/>
      <c r="DRH207" s="28"/>
      <c r="DRI207" s="28"/>
      <c r="DRJ207" s="28"/>
      <c r="DRK207" s="28"/>
      <c r="DRL207" s="28"/>
      <c r="DRM207" s="28"/>
      <c r="DRN207" s="28"/>
      <c r="DRO207" s="28"/>
      <c r="DRP207" s="28"/>
      <c r="DRQ207" s="28"/>
      <c r="DRR207" s="28"/>
      <c r="DRS207" s="28"/>
      <c r="DRT207" s="28"/>
      <c r="DRU207" s="28"/>
      <c r="DRV207" s="28"/>
      <c r="DRW207" s="28"/>
      <c r="DRX207" s="28"/>
      <c r="DRY207" s="28"/>
      <c r="DRZ207" s="28"/>
      <c r="DSA207" s="28"/>
      <c r="DSB207" s="28"/>
      <c r="DSC207" s="28"/>
      <c r="DSD207" s="28"/>
      <c r="DSE207" s="28"/>
      <c r="DSF207" s="28"/>
      <c r="DSG207" s="28"/>
      <c r="DSH207" s="28"/>
      <c r="DSI207" s="28"/>
      <c r="DSJ207" s="28"/>
      <c r="DSK207" s="28"/>
      <c r="DSL207" s="28"/>
      <c r="DSM207" s="28"/>
      <c r="DSN207" s="28"/>
      <c r="DSO207" s="28"/>
      <c r="DSP207" s="28"/>
      <c r="DSQ207" s="28"/>
      <c r="DSR207" s="28"/>
      <c r="DSS207" s="28"/>
      <c r="DST207" s="28"/>
      <c r="DSU207" s="28"/>
      <c r="DSV207" s="28"/>
      <c r="DSW207" s="28"/>
      <c r="DSX207" s="28"/>
      <c r="DSY207" s="28"/>
      <c r="DSZ207" s="28"/>
      <c r="DTA207" s="28"/>
      <c r="DTB207" s="28"/>
      <c r="DTC207" s="28"/>
      <c r="DTD207" s="28"/>
      <c r="DTE207" s="28"/>
      <c r="DTF207" s="28"/>
      <c r="DTG207" s="28"/>
      <c r="DTH207" s="28"/>
      <c r="DTI207" s="28"/>
      <c r="DTJ207" s="28"/>
      <c r="DTK207" s="28"/>
      <c r="DTL207" s="28"/>
      <c r="DTM207" s="28"/>
      <c r="DTN207" s="28"/>
      <c r="DTO207" s="28"/>
      <c r="DTP207" s="28"/>
      <c r="DTQ207" s="28"/>
      <c r="DTR207" s="28"/>
      <c r="DTS207" s="28"/>
      <c r="DTT207" s="28"/>
      <c r="DTU207" s="28"/>
      <c r="DTV207" s="28"/>
      <c r="DTW207" s="28"/>
      <c r="DTX207" s="28"/>
      <c r="DTY207" s="28"/>
      <c r="DTZ207" s="28"/>
      <c r="DUA207" s="28"/>
      <c r="DUB207" s="28"/>
      <c r="DUC207" s="28"/>
      <c r="DUD207" s="28"/>
      <c r="DUE207" s="28"/>
      <c r="DUF207" s="28"/>
      <c r="DUG207" s="28"/>
      <c r="DUH207" s="28"/>
      <c r="DUI207" s="28"/>
      <c r="DUJ207" s="28"/>
      <c r="DUK207" s="28"/>
      <c r="DUL207" s="28"/>
      <c r="DUM207" s="28"/>
      <c r="DUN207" s="28"/>
      <c r="DUO207" s="28"/>
      <c r="DUP207" s="28"/>
      <c r="DUQ207" s="28"/>
      <c r="DUR207" s="28"/>
      <c r="DUS207" s="28"/>
      <c r="DUT207" s="28"/>
      <c r="DUU207" s="28"/>
      <c r="DUV207" s="28"/>
      <c r="DUW207" s="28"/>
      <c r="DUX207" s="28"/>
      <c r="DUY207" s="28"/>
      <c r="DUZ207" s="28"/>
      <c r="DVA207" s="28"/>
      <c r="DVB207" s="28"/>
      <c r="DVC207" s="28"/>
      <c r="DVD207" s="28"/>
      <c r="DVE207" s="28"/>
      <c r="DVF207" s="28"/>
      <c r="DVG207" s="28"/>
      <c r="DVH207" s="28"/>
      <c r="DVI207" s="28"/>
      <c r="DVJ207" s="28"/>
      <c r="DVK207" s="28"/>
      <c r="DVL207" s="28"/>
      <c r="DVM207" s="28"/>
      <c r="DVN207" s="28"/>
      <c r="DVO207" s="28"/>
      <c r="DVP207" s="28"/>
      <c r="DVQ207" s="28"/>
      <c r="DVR207" s="28"/>
      <c r="DVS207" s="28"/>
      <c r="DVT207" s="28"/>
      <c r="DVU207" s="28"/>
      <c r="DVV207" s="28"/>
      <c r="DVW207" s="28"/>
      <c r="DVX207" s="28"/>
      <c r="DVY207" s="28"/>
      <c r="DVZ207" s="28"/>
      <c r="DWA207" s="28"/>
      <c r="DWB207" s="28"/>
      <c r="DWC207" s="28"/>
      <c r="DWD207" s="28"/>
      <c r="DWE207" s="28"/>
      <c r="DWF207" s="28"/>
      <c r="DWG207" s="28"/>
      <c r="DWH207" s="28"/>
      <c r="DWI207" s="28"/>
      <c r="DWJ207" s="28"/>
      <c r="DWK207" s="28"/>
      <c r="DWL207" s="28"/>
      <c r="DWM207" s="28"/>
      <c r="DWN207" s="28"/>
      <c r="DWO207" s="28"/>
      <c r="DWP207" s="28"/>
      <c r="DWQ207" s="28"/>
      <c r="DWR207" s="28"/>
      <c r="DWS207" s="28"/>
      <c r="DWT207" s="28"/>
      <c r="DWU207" s="28"/>
      <c r="DWV207" s="28"/>
      <c r="DWW207" s="28"/>
      <c r="DWX207" s="28"/>
      <c r="DWY207" s="28"/>
      <c r="DWZ207" s="28"/>
      <c r="DXA207" s="28"/>
      <c r="DXB207" s="28"/>
      <c r="DXC207" s="28"/>
      <c r="DXD207" s="28"/>
      <c r="DXE207" s="28"/>
      <c r="DXF207" s="28"/>
      <c r="DXG207" s="28"/>
      <c r="DXH207" s="28"/>
      <c r="DXI207" s="28"/>
      <c r="DXJ207" s="28"/>
      <c r="DXK207" s="28"/>
      <c r="DXL207" s="28"/>
      <c r="DXM207" s="28"/>
      <c r="DXN207" s="28"/>
      <c r="DXO207" s="28"/>
      <c r="DXP207" s="28"/>
      <c r="DXQ207" s="28"/>
      <c r="DXR207" s="28"/>
      <c r="DXS207" s="28"/>
      <c r="DXT207" s="28"/>
      <c r="DXU207" s="28"/>
      <c r="DXV207" s="28"/>
      <c r="DXW207" s="28"/>
      <c r="DXX207" s="28"/>
      <c r="DXY207" s="28"/>
      <c r="DXZ207" s="28"/>
      <c r="DYA207" s="28"/>
      <c r="DYB207" s="28"/>
      <c r="DYC207" s="28"/>
      <c r="DYD207" s="28"/>
      <c r="DYE207" s="28"/>
      <c r="DYF207" s="28"/>
      <c r="DYG207" s="28"/>
      <c r="DYH207" s="28"/>
      <c r="DYI207" s="28"/>
      <c r="DYJ207" s="28"/>
      <c r="DYK207" s="28"/>
      <c r="DYL207" s="28"/>
      <c r="DYM207" s="28"/>
      <c r="DYN207" s="28"/>
      <c r="DYO207" s="28"/>
      <c r="DYP207" s="28"/>
      <c r="DYQ207" s="28"/>
      <c r="DYR207" s="28"/>
      <c r="DYS207" s="28"/>
      <c r="DYT207" s="28"/>
      <c r="DYU207" s="28"/>
      <c r="DYV207" s="28"/>
      <c r="DYW207" s="28"/>
      <c r="DYX207" s="28"/>
      <c r="DYY207" s="28"/>
      <c r="DYZ207" s="28"/>
      <c r="DZA207" s="28"/>
      <c r="DZB207" s="28"/>
      <c r="DZC207" s="28"/>
      <c r="DZD207" s="28"/>
      <c r="DZE207" s="28"/>
      <c r="DZF207" s="28"/>
      <c r="DZG207" s="28"/>
      <c r="DZH207" s="28"/>
      <c r="DZI207" s="28"/>
      <c r="DZJ207" s="28"/>
      <c r="DZK207" s="28"/>
      <c r="DZL207" s="28"/>
      <c r="DZM207" s="28"/>
      <c r="DZN207" s="28"/>
      <c r="DZO207" s="28"/>
      <c r="DZP207" s="28"/>
      <c r="DZQ207" s="28"/>
      <c r="DZR207" s="28"/>
      <c r="DZS207" s="28"/>
      <c r="DZT207" s="28"/>
      <c r="DZU207" s="28"/>
      <c r="DZV207" s="28"/>
      <c r="DZW207" s="28"/>
      <c r="DZX207" s="28"/>
      <c r="DZY207" s="28"/>
      <c r="DZZ207" s="28"/>
      <c r="EAA207" s="28"/>
      <c r="EAB207" s="28"/>
      <c r="EAC207" s="28"/>
      <c r="EAD207" s="28"/>
      <c r="EAE207" s="28"/>
      <c r="EAF207" s="28"/>
      <c r="EAG207" s="28"/>
      <c r="EAH207" s="28"/>
      <c r="EAI207" s="28"/>
      <c r="EAJ207" s="28"/>
      <c r="EAK207" s="28"/>
      <c r="EAL207" s="28"/>
      <c r="EAM207" s="28"/>
      <c r="EAN207" s="28"/>
      <c r="EAO207" s="28"/>
      <c r="EAP207" s="28"/>
      <c r="EAQ207" s="28"/>
      <c r="EAR207" s="28"/>
      <c r="EAS207" s="28"/>
      <c r="EAT207" s="28"/>
      <c r="EAU207" s="28"/>
      <c r="EAV207" s="28"/>
      <c r="EAW207" s="28"/>
      <c r="EAX207" s="28"/>
      <c r="EAY207" s="28"/>
      <c r="EAZ207" s="28"/>
      <c r="EBA207" s="28"/>
      <c r="EBB207" s="28"/>
      <c r="EBC207" s="28"/>
      <c r="EBD207" s="28"/>
      <c r="EBE207" s="28"/>
      <c r="EBF207" s="28"/>
      <c r="EBG207" s="28"/>
      <c r="EBH207" s="28"/>
      <c r="EBI207" s="28"/>
      <c r="EBJ207" s="28"/>
      <c r="EBK207" s="28"/>
      <c r="EBL207" s="28"/>
      <c r="EBM207" s="28"/>
      <c r="EBN207" s="28"/>
      <c r="EBO207" s="28"/>
      <c r="EBP207" s="28"/>
      <c r="EBQ207" s="28"/>
      <c r="EBR207" s="28"/>
      <c r="EBS207" s="28"/>
      <c r="EBT207" s="28"/>
      <c r="EBU207" s="28"/>
      <c r="EBV207" s="28"/>
      <c r="EBW207" s="28"/>
      <c r="EBX207" s="28"/>
      <c r="EBY207" s="28"/>
      <c r="EBZ207" s="28"/>
      <c r="ECA207" s="28"/>
      <c r="ECB207" s="28"/>
      <c r="ECC207" s="28"/>
      <c r="ECD207" s="28"/>
      <c r="ECE207" s="28"/>
      <c r="ECF207" s="28"/>
      <c r="ECG207" s="28"/>
      <c r="ECH207" s="28"/>
      <c r="ECI207" s="28"/>
      <c r="ECJ207" s="28"/>
      <c r="ECK207" s="28"/>
      <c r="ECL207" s="28"/>
      <c r="ECM207" s="28"/>
      <c r="ECN207" s="28"/>
      <c r="ECO207" s="28"/>
      <c r="ECP207" s="28"/>
      <c r="ECQ207" s="28"/>
      <c r="ECR207" s="28"/>
      <c r="ECS207" s="28"/>
      <c r="ECT207" s="28"/>
      <c r="ECU207" s="28"/>
      <c r="ECV207" s="28"/>
      <c r="ECW207" s="28"/>
      <c r="ECX207" s="28"/>
      <c r="ECY207" s="28"/>
      <c r="ECZ207" s="28"/>
      <c r="EDA207" s="28"/>
      <c r="EDB207" s="28"/>
      <c r="EDC207" s="28"/>
      <c r="EDD207" s="28"/>
      <c r="EDE207" s="28"/>
      <c r="EDF207" s="28"/>
      <c r="EDG207" s="28"/>
      <c r="EDH207" s="28"/>
      <c r="EDI207" s="28"/>
      <c r="EDJ207" s="28"/>
      <c r="EDK207" s="28"/>
      <c r="EDL207" s="28"/>
      <c r="EDM207" s="28"/>
      <c r="EDN207" s="28"/>
      <c r="EDO207" s="28"/>
      <c r="EDP207" s="28"/>
      <c r="EDQ207" s="28"/>
      <c r="EDR207" s="28"/>
      <c r="EDS207" s="28"/>
      <c r="EDT207" s="28"/>
      <c r="EDU207" s="28"/>
      <c r="EDV207" s="28"/>
      <c r="EDW207" s="28"/>
      <c r="EDX207" s="28"/>
      <c r="EDY207" s="28"/>
      <c r="EDZ207" s="28"/>
      <c r="EEA207" s="28"/>
      <c r="EEB207" s="28"/>
      <c r="EEC207" s="28"/>
      <c r="EED207" s="28"/>
      <c r="EEE207" s="28"/>
      <c r="EEF207" s="28"/>
      <c r="EEG207" s="28"/>
      <c r="EEH207" s="28"/>
      <c r="EEI207" s="28"/>
      <c r="EEJ207" s="28"/>
      <c r="EEK207" s="28"/>
      <c r="EEL207" s="28"/>
      <c r="EEM207" s="28"/>
      <c r="EEN207" s="28"/>
      <c r="EEO207" s="28"/>
      <c r="EEP207" s="28"/>
      <c r="EEQ207" s="28"/>
      <c r="EER207" s="28"/>
      <c r="EES207" s="28"/>
      <c r="EET207" s="28"/>
      <c r="EEU207" s="28"/>
      <c r="EEV207" s="28"/>
      <c r="EEW207" s="28"/>
      <c r="EEX207" s="28"/>
      <c r="EEY207" s="28"/>
      <c r="EEZ207" s="28"/>
      <c r="EFA207" s="28"/>
      <c r="EFB207" s="28"/>
      <c r="EFC207" s="28"/>
      <c r="EFD207" s="28"/>
      <c r="EFE207" s="28"/>
      <c r="EFF207" s="28"/>
      <c r="EFG207" s="28"/>
      <c r="EFH207" s="28"/>
      <c r="EFI207" s="28"/>
      <c r="EFJ207" s="28"/>
      <c r="EFK207" s="28"/>
      <c r="EFL207" s="28"/>
      <c r="EFM207" s="28"/>
      <c r="EFN207" s="28"/>
      <c r="EFO207" s="28"/>
      <c r="EFP207" s="28"/>
      <c r="EFQ207" s="28"/>
      <c r="EFR207" s="28"/>
      <c r="EFS207" s="28"/>
      <c r="EFT207" s="28"/>
      <c r="EFU207" s="28"/>
      <c r="EFV207" s="28"/>
      <c r="EFW207" s="28"/>
      <c r="EFX207" s="28"/>
      <c r="EFY207" s="28"/>
      <c r="EFZ207" s="28"/>
      <c r="EGA207" s="28"/>
      <c r="EGB207" s="28"/>
      <c r="EGC207" s="28"/>
      <c r="EGD207" s="28"/>
      <c r="EGE207" s="28"/>
      <c r="EGF207" s="28"/>
      <c r="EGG207" s="28"/>
      <c r="EGH207" s="28"/>
      <c r="EGI207" s="28"/>
      <c r="EGJ207" s="28"/>
      <c r="EGK207" s="28"/>
      <c r="EGL207" s="28"/>
      <c r="EGM207" s="28"/>
      <c r="EGN207" s="28"/>
      <c r="EGO207" s="28"/>
      <c r="EGP207" s="28"/>
      <c r="EGQ207" s="28"/>
      <c r="EGR207" s="28"/>
      <c r="EGS207" s="28"/>
      <c r="EGT207" s="28"/>
      <c r="EGU207" s="28"/>
      <c r="EGV207" s="28"/>
      <c r="EGW207" s="28"/>
      <c r="EGX207" s="28"/>
      <c r="EGY207" s="28"/>
      <c r="EGZ207" s="28"/>
      <c r="EHA207" s="28"/>
      <c r="EHB207" s="28"/>
      <c r="EHC207" s="28"/>
      <c r="EHD207" s="28"/>
      <c r="EHE207" s="28"/>
      <c r="EHF207" s="28"/>
      <c r="EHG207" s="28"/>
      <c r="EHH207" s="28"/>
      <c r="EHI207" s="28"/>
      <c r="EHJ207" s="28"/>
      <c r="EHK207" s="28"/>
      <c r="EHL207" s="28"/>
      <c r="EHM207" s="28"/>
      <c r="EHN207" s="28"/>
      <c r="EHO207" s="28"/>
      <c r="EHP207" s="28"/>
      <c r="EHQ207" s="28"/>
      <c r="EHR207" s="28"/>
      <c r="EHS207" s="28"/>
      <c r="EHT207" s="28"/>
      <c r="EHU207" s="28"/>
      <c r="EHV207" s="28"/>
      <c r="EHW207" s="28"/>
      <c r="EHX207" s="28"/>
      <c r="EHY207" s="28"/>
      <c r="EHZ207" s="28"/>
      <c r="EIA207" s="28"/>
      <c r="EIB207" s="28"/>
      <c r="EIC207" s="28"/>
      <c r="EID207" s="28"/>
      <c r="EIE207" s="28"/>
      <c r="EIF207" s="28"/>
      <c r="EIG207" s="28"/>
      <c r="EIH207" s="28"/>
      <c r="EII207" s="28"/>
      <c r="EIJ207" s="28"/>
      <c r="EIK207" s="28"/>
      <c r="EIL207" s="28"/>
      <c r="EIM207" s="28"/>
      <c r="EIN207" s="28"/>
      <c r="EIO207" s="28"/>
      <c r="EIP207" s="28"/>
      <c r="EIQ207" s="28"/>
      <c r="EIR207" s="28"/>
      <c r="EIS207" s="28"/>
      <c r="EIT207" s="28"/>
      <c r="EIU207" s="28"/>
      <c r="EIV207" s="28"/>
      <c r="EIW207" s="28"/>
      <c r="EIX207" s="28"/>
      <c r="EIY207" s="28"/>
      <c r="EIZ207" s="28"/>
      <c r="EJA207" s="28"/>
      <c r="EJB207" s="28"/>
      <c r="EJC207" s="28"/>
      <c r="EJD207" s="28"/>
      <c r="EJE207" s="28"/>
      <c r="EJF207" s="28"/>
      <c r="EJG207" s="28"/>
      <c r="EJH207" s="28"/>
      <c r="EJI207" s="28"/>
      <c r="EJJ207" s="28"/>
      <c r="EJK207" s="28"/>
      <c r="EJL207" s="28"/>
      <c r="EJM207" s="28"/>
      <c r="EJN207" s="28"/>
      <c r="EJO207" s="28"/>
      <c r="EJP207" s="28"/>
      <c r="EJQ207" s="28"/>
      <c r="EJR207" s="28"/>
      <c r="EJS207" s="28"/>
      <c r="EJT207" s="28"/>
      <c r="EJU207" s="28"/>
      <c r="EJV207" s="28"/>
      <c r="EJW207" s="28"/>
      <c r="EJX207" s="28"/>
      <c r="EJY207" s="28"/>
      <c r="EJZ207" s="28"/>
      <c r="EKA207" s="28"/>
      <c r="EKB207" s="28"/>
      <c r="EKC207" s="28"/>
      <c r="EKD207" s="28"/>
      <c r="EKE207" s="28"/>
      <c r="EKF207" s="28"/>
      <c r="EKG207" s="28"/>
      <c r="EKH207" s="28"/>
      <c r="EKI207" s="28"/>
      <c r="EKJ207" s="28"/>
      <c r="EKK207" s="28"/>
      <c r="EKL207" s="28"/>
      <c r="EKM207" s="28"/>
      <c r="EKN207" s="28"/>
      <c r="EKO207" s="28"/>
      <c r="EKP207" s="28"/>
      <c r="EKQ207" s="28"/>
      <c r="EKR207" s="28"/>
      <c r="EKS207" s="28"/>
      <c r="EKT207" s="28"/>
      <c r="EKU207" s="28"/>
      <c r="EKV207" s="28"/>
      <c r="EKW207" s="28"/>
      <c r="EKX207" s="28"/>
      <c r="EKY207" s="28"/>
      <c r="EKZ207" s="28"/>
      <c r="ELA207" s="28"/>
      <c r="ELB207" s="28"/>
      <c r="ELC207" s="28"/>
      <c r="ELD207" s="28"/>
      <c r="ELE207" s="28"/>
      <c r="ELF207" s="28"/>
      <c r="ELG207" s="28"/>
      <c r="ELH207" s="28"/>
      <c r="ELI207" s="28"/>
      <c r="ELJ207" s="28"/>
      <c r="ELK207" s="28"/>
      <c r="ELL207" s="28"/>
      <c r="ELM207" s="28"/>
      <c r="ELN207" s="28"/>
      <c r="ELO207" s="28"/>
      <c r="ELP207" s="28"/>
      <c r="ELQ207" s="28"/>
      <c r="ELR207" s="28"/>
      <c r="ELS207" s="28"/>
      <c r="ELT207" s="28"/>
      <c r="ELU207" s="28"/>
      <c r="ELV207" s="28"/>
      <c r="ELW207" s="28"/>
      <c r="ELX207" s="28"/>
      <c r="ELY207" s="28"/>
      <c r="ELZ207" s="28"/>
      <c r="EMA207" s="28"/>
      <c r="EMB207" s="28"/>
      <c r="EMC207" s="28"/>
      <c r="EMD207" s="28"/>
      <c r="EME207" s="28"/>
      <c r="EMF207" s="28"/>
      <c r="EMG207" s="28"/>
      <c r="EMH207" s="28"/>
      <c r="EMI207" s="28"/>
      <c r="EMJ207" s="28"/>
      <c r="EMK207" s="28"/>
      <c r="EML207" s="28"/>
      <c r="EMM207" s="28"/>
      <c r="EMN207" s="28"/>
      <c r="EMO207" s="28"/>
      <c r="EMP207" s="28"/>
      <c r="EMQ207" s="28"/>
      <c r="EMR207" s="28"/>
      <c r="EMS207" s="28"/>
      <c r="EMT207" s="28"/>
      <c r="EMU207" s="28"/>
      <c r="EMV207" s="28"/>
      <c r="EMW207" s="28"/>
      <c r="EMX207" s="28"/>
      <c r="EMY207" s="28"/>
      <c r="EMZ207" s="28"/>
      <c r="ENA207" s="28"/>
      <c r="ENB207" s="28"/>
      <c r="ENC207" s="28"/>
      <c r="END207" s="28"/>
      <c r="ENE207" s="28"/>
      <c r="ENF207" s="28"/>
      <c r="ENG207" s="28"/>
      <c r="ENH207" s="28"/>
      <c r="ENI207" s="28"/>
      <c r="ENJ207" s="28"/>
      <c r="ENK207" s="28"/>
      <c r="ENL207" s="28"/>
      <c r="ENM207" s="28"/>
      <c r="ENN207" s="28"/>
      <c r="ENO207" s="28"/>
      <c r="ENP207" s="28"/>
      <c r="ENQ207" s="28"/>
      <c r="ENR207" s="28"/>
      <c r="ENS207" s="28"/>
      <c r="ENT207" s="28"/>
      <c r="ENU207" s="28"/>
      <c r="ENV207" s="28"/>
      <c r="ENW207" s="28"/>
      <c r="ENX207" s="28"/>
      <c r="ENY207" s="28"/>
      <c r="ENZ207" s="28"/>
      <c r="EOA207" s="28"/>
      <c r="EOB207" s="28"/>
      <c r="EOC207" s="28"/>
      <c r="EOD207" s="28"/>
      <c r="EOE207" s="28"/>
      <c r="EOF207" s="28"/>
      <c r="EOG207" s="28"/>
      <c r="EOH207" s="28"/>
      <c r="EOI207" s="28"/>
      <c r="EOJ207" s="28"/>
      <c r="EOK207" s="28"/>
      <c r="EOL207" s="28"/>
      <c r="EOM207" s="28"/>
      <c r="EON207" s="28"/>
      <c r="EOO207" s="28"/>
      <c r="EOP207" s="28"/>
      <c r="EOQ207" s="28"/>
      <c r="EOR207" s="28"/>
      <c r="EOS207" s="28"/>
      <c r="EOT207" s="28"/>
      <c r="EOU207" s="28"/>
      <c r="EOV207" s="28"/>
      <c r="EOW207" s="28"/>
      <c r="EOX207" s="28"/>
      <c r="EOY207" s="28"/>
      <c r="EOZ207" s="28"/>
      <c r="EPA207" s="28"/>
      <c r="EPB207" s="28"/>
      <c r="EPC207" s="28"/>
      <c r="EPD207" s="28"/>
      <c r="EPE207" s="28"/>
      <c r="EPF207" s="28"/>
      <c r="EPG207" s="28"/>
      <c r="EPH207" s="28"/>
      <c r="EPI207" s="28"/>
      <c r="EPJ207" s="28"/>
      <c r="EPK207" s="28"/>
      <c r="EPL207" s="28"/>
      <c r="EPM207" s="28"/>
      <c r="EPN207" s="28"/>
      <c r="EPO207" s="28"/>
      <c r="EPP207" s="28"/>
      <c r="EPQ207" s="28"/>
      <c r="EPR207" s="28"/>
      <c r="EPS207" s="28"/>
      <c r="EPT207" s="28"/>
      <c r="EPU207" s="28"/>
      <c r="EPV207" s="28"/>
      <c r="EPW207" s="28"/>
      <c r="EPX207" s="28"/>
      <c r="EPY207" s="28"/>
      <c r="EPZ207" s="28"/>
      <c r="EQA207" s="28"/>
      <c r="EQB207" s="28"/>
      <c r="EQC207" s="28"/>
      <c r="EQD207" s="28"/>
      <c r="EQE207" s="28"/>
      <c r="EQF207" s="28"/>
      <c r="EQG207" s="28"/>
      <c r="EQH207" s="28"/>
      <c r="EQI207" s="28"/>
      <c r="EQJ207" s="28"/>
      <c r="EQK207" s="28"/>
      <c r="EQL207" s="28"/>
      <c r="EQM207" s="28"/>
      <c r="EQN207" s="28"/>
      <c r="EQO207" s="28"/>
      <c r="EQP207" s="28"/>
      <c r="EQQ207" s="28"/>
      <c r="EQR207" s="28"/>
      <c r="EQS207" s="28"/>
      <c r="EQT207" s="28"/>
      <c r="EQU207" s="28"/>
      <c r="EQV207" s="28"/>
      <c r="EQW207" s="28"/>
      <c r="EQX207" s="28"/>
      <c r="EQY207" s="28"/>
      <c r="EQZ207" s="28"/>
      <c r="ERA207" s="28"/>
      <c r="ERB207" s="28"/>
      <c r="ERC207" s="28"/>
      <c r="ERD207" s="28"/>
      <c r="ERE207" s="28"/>
      <c r="ERF207" s="28"/>
      <c r="ERG207" s="28"/>
      <c r="ERH207" s="28"/>
      <c r="ERI207" s="28"/>
      <c r="ERJ207" s="28"/>
      <c r="ERK207" s="28"/>
      <c r="ERL207" s="28"/>
      <c r="ERM207" s="28"/>
      <c r="ERN207" s="28"/>
      <c r="ERO207" s="28"/>
      <c r="ERP207" s="28"/>
      <c r="ERQ207" s="28"/>
      <c r="ERR207" s="28"/>
      <c r="ERS207" s="28"/>
      <c r="ERT207" s="28"/>
      <c r="ERU207" s="28"/>
      <c r="ERV207" s="28"/>
      <c r="ERW207" s="28"/>
      <c r="ERX207" s="28"/>
      <c r="ERY207" s="28"/>
      <c r="ERZ207" s="28"/>
      <c r="ESA207" s="28"/>
      <c r="ESB207" s="28"/>
      <c r="ESC207" s="28"/>
      <c r="ESD207" s="28"/>
      <c r="ESE207" s="28"/>
      <c r="ESF207" s="28"/>
      <c r="ESG207" s="28"/>
      <c r="ESH207" s="28"/>
      <c r="ESI207" s="28"/>
      <c r="ESJ207" s="28"/>
      <c r="ESK207" s="28"/>
      <c r="ESL207" s="28"/>
      <c r="ESM207" s="28"/>
      <c r="ESN207" s="28"/>
      <c r="ESO207" s="28"/>
      <c r="ESP207" s="28"/>
      <c r="ESQ207" s="28"/>
      <c r="ESR207" s="28"/>
      <c r="ESS207" s="28"/>
      <c r="EST207" s="28"/>
      <c r="ESU207" s="28"/>
      <c r="ESV207" s="28"/>
      <c r="ESW207" s="28"/>
      <c r="ESX207" s="28"/>
      <c r="ESY207" s="28"/>
      <c r="ESZ207" s="28"/>
      <c r="ETA207" s="28"/>
      <c r="ETB207" s="28"/>
      <c r="ETC207" s="28"/>
      <c r="ETD207" s="28"/>
      <c r="ETE207" s="28"/>
      <c r="ETF207" s="28"/>
      <c r="ETG207" s="28"/>
      <c r="ETH207" s="28"/>
      <c r="ETI207" s="28"/>
      <c r="ETJ207" s="28"/>
      <c r="ETK207" s="28"/>
      <c r="ETL207" s="28"/>
      <c r="ETM207" s="28"/>
      <c r="ETN207" s="28"/>
      <c r="ETO207" s="28"/>
      <c r="ETP207" s="28"/>
      <c r="ETQ207" s="28"/>
      <c r="ETR207" s="28"/>
      <c r="ETS207" s="28"/>
      <c r="ETT207" s="28"/>
      <c r="ETU207" s="28"/>
      <c r="ETV207" s="28"/>
      <c r="ETW207" s="28"/>
      <c r="ETX207" s="28"/>
      <c r="ETY207" s="28"/>
      <c r="ETZ207" s="28"/>
      <c r="EUA207" s="28"/>
      <c r="EUB207" s="28"/>
      <c r="EUC207" s="28"/>
      <c r="EUD207" s="28"/>
      <c r="EUE207" s="28"/>
      <c r="EUF207" s="28"/>
      <c r="EUG207" s="28"/>
      <c r="EUH207" s="28"/>
      <c r="EUI207" s="28"/>
      <c r="EUJ207" s="28"/>
      <c r="EUK207" s="28"/>
      <c r="EUL207" s="28"/>
      <c r="EUM207" s="28"/>
      <c r="EUN207" s="28"/>
      <c r="EUO207" s="28"/>
      <c r="EUP207" s="28"/>
      <c r="EUQ207" s="28"/>
      <c r="EUR207" s="28"/>
      <c r="EUS207" s="28"/>
      <c r="EUT207" s="28"/>
      <c r="EUU207" s="28"/>
      <c r="EUV207" s="28"/>
      <c r="EUW207" s="28"/>
      <c r="EUX207" s="28"/>
      <c r="EUY207" s="28"/>
      <c r="EUZ207" s="28"/>
      <c r="EVA207" s="28"/>
      <c r="EVB207" s="28"/>
      <c r="EVC207" s="28"/>
      <c r="EVD207" s="28"/>
      <c r="EVE207" s="28"/>
      <c r="EVF207" s="28"/>
      <c r="EVG207" s="28"/>
      <c r="EVH207" s="28"/>
      <c r="EVI207" s="28"/>
      <c r="EVJ207" s="28"/>
      <c r="EVK207" s="28"/>
      <c r="EVL207" s="28"/>
      <c r="EVM207" s="28"/>
      <c r="EVN207" s="28"/>
      <c r="EVO207" s="28"/>
      <c r="EVP207" s="28"/>
      <c r="EVQ207" s="28"/>
      <c r="EVR207" s="28"/>
      <c r="EVS207" s="28"/>
      <c r="EVT207" s="28"/>
      <c r="EVU207" s="28"/>
      <c r="EVV207" s="28"/>
      <c r="EVW207" s="28"/>
      <c r="EVX207" s="28"/>
      <c r="EVY207" s="28"/>
      <c r="EVZ207" s="28"/>
      <c r="EWA207" s="28"/>
      <c r="EWB207" s="28"/>
      <c r="EWC207" s="28"/>
      <c r="EWD207" s="28"/>
      <c r="EWE207" s="28"/>
      <c r="EWF207" s="28"/>
      <c r="EWG207" s="28"/>
      <c r="EWH207" s="28"/>
      <c r="EWI207" s="28"/>
      <c r="EWJ207" s="28"/>
      <c r="EWK207" s="28"/>
      <c r="EWL207" s="28"/>
      <c r="EWM207" s="28"/>
      <c r="EWN207" s="28"/>
      <c r="EWO207" s="28"/>
      <c r="EWP207" s="28"/>
      <c r="EWQ207" s="28"/>
      <c r="EWR207" s="28"/>
      <c r="EWS207" s="28"/>
      <c r="EWT207" s="28"/>
      <c r="EWU207" s="28"/>
      <c r="EWV207" s="28"/>
      <c r="EWW207" s="28"/>
      <c r="EWX207" s="28"/>
      <c r="EWY207" s="28"/>
      <c r="EWZ207" s="28"/>
      <c r="EXA207" s="28"/>
      <c r="EXB207" s="28"/>
      <c r="EXC207" s="28"/>
      <c r="EXD207" s="28"/>
      <c r="EXE207" s="28"/>
      <c r="EXF207" s="28"/>
      <c r="EXG207" s="28"/>
      <c r="EXH207" s="28"/>
      <c r="EXI207" s="28"/>
      <c r="EXJ207" s="28"/>
      <c r="EXK207" s="28"/>
      <c r="EXL207" s="28"/>
      <c r="EXM207" s="28"/>
      <c r="EXN207" s="28"/>
      <c r="EXO207" s="28"/>
      <c r="EXP207" s="28"/>
      <c r="EXQ207" s="28"/>
      <c r="EXR207" s="28"/>
      <c r="EXS207" s="28"/>
      <c r="EXT207" s="28"/>
      <c r="EXU207" s="28"/>
      <c r="EXV207" s="28"/>
      <c r="EXW207" s="28"/>
      <c r="EXX207" s="28"/>
      <c r="EXY207" s="28"/>
      <c r="EXZ207" s="28"/>
      <c r="EYA207" s="28"/>
      <c r="EYB207" s="28"/>
      <c r="EYC207" s="28"/>
      <c r="EYD207" s="28"/>
      <c r="EYE207" s="28"/>
      <c r="EYF207" s="28"/>
      <c r="EYG207" s="28"/>
      <c r="EYH207" s="28"/>
      <c r="EYI207" s="28"/>
      <c r="EYJ207" s="28"/>
      <c r="EYK207" s="28"/>
      <c r="EYL207" s="28"/>
      <c r="EYM207" s="28"/>
      <c r="EYN207" s="28"/>
      <c r="EYO207" s="28"/>
      <c r="EYP207" s="28"/>
      <c r="EYQ207" s="28"/>
      <c r="EYR207" s="28"/>
      <c r="EYS207" s="28"/>
      <c r="EYT207" s="28"/>
      <c r="EYU207" s="28"/>
      <c r="EYV207" s="28"/>
      <c r="EYW207" s="28"/>
      <c r="EYX207" s="28"/>
      <c r="EYY207" s="28"/>
      <c r="EYZ207" s="28"/>
      <c r="EZA207" s="28"/>
      <c r="EZB207" s="28"/>
      <c r="EZC207" s="28"/>
      <c r="EZD207" s="28"/>
      <c r="EZE207" s="28"/>
      <c r="EZF207" s="28"/>
      <c r="EZG207" s="28"/>
      <c r="EZH207" s="28"/>
      <c r="EZI207" s="28"/>
      <c r="EZJ207" s="28"/>
      <c r="EZK207" s="28"/>
      <c r="EZL207" s="28"/>
      <c r="EZM207" s="28"/>
      <c r="EZN207" s="28"/>
      <c r="EZO207" s="28"/>
      <c r="EZP207" s="28"/>
      <c r="EZQ207" s="28"/>
      <c r="EZR207" s="28"/>
      <c r="EZS207" s="28"/>
      <c r="EZT207" s="28"/>
      <c r="EZU207" s="28"/>
      <c r="EZV207" s="28"/>
      <c r="EZW207" s="28"/>
      <c r="EZX207" s="28"/>
      <c r="EZY207" s="28"/>
      <c r="EZZ207" s="28"/>
      <c r="FAA207" s="28"/>
      <c r="FAB207" s="28"/>
      <c r="FAC207" s="28"/>
      <c r="FAD207" s="28"/>
      <c r="FAE207" s="28"/>
      <c r="FAF207" s="28"/>
      <c r="FAG207" s="28"/>
      <c r="FAH207" s="28"/>
      <c r="FAI207" s="28"/>
      <c r="FAJ207" s="28"/>
      <c r="FAK207" s="28"/>
      <c r="FAL207" s="28"/>
      <c r="FAM207" s="28"/>
      <c r="FAN207" s="28"/>
      <c r="FAO207" s="28"/>
      <c r="FAP207" s="28"/>
      <c r="FAQ207" s="28"/>
      <c r="FAR207" s="28"/>
      <c r="FAS207" s="28"/>
      <c r="FAT207" s="28"/>
      <c r="FAU207" s="28"/>
      <c r="FAV207" s="28"/>
      <c r="FAW207" s="28"/>
      <c r="FAX207" s="28"/>
      <c r="FAY207" s="28"/>
      <c r="FAZ207" s="28"/>
      <c r="FBA207" s="28"/>
      <c r="FBB207" s="28"/>
      <c r="FBC207" s="28"/>
      <c r="FBD207" s="28"/>
      <c r="FBE207" s="28"/>
      <c r="FBF207" s="28"/>
      <c r="FBG207" s="28"/>
      <c r="FBH207" s="28"/>
      <c r="FBI207" s="28"/>
      <c r="FBJ207" s="28"/>
      <c r="FBK207" s="28"/>
      <c r="FBL207" s="28"/>
      <c r="FBM207" s="28"/>
      <c r="FBN207" s="28"/>
      <c r="FBO207" s="28"/>
      <c r="FBP207" s="28"/>
      <c r="FBQ207" s="28"/>
      <c r="FBR207" s="28"/>
      <c r="FBS207" s="28"/>
      <c r="FBT207" s="28"/>
      <c r="FBU207" s="28"/>
      <c r="FBV207" s="28"/>
      <c r="FBW207" s="28"/>
      <c r="FBX207" s="28"/>
      <c r="FBY207" s="28"/>
      <c r="FBZ207" s="28"/>
      <c r="FCA207" s="28"/>
      <c r="FCB207" s="28"/>
      <c r="FCC207" s="28"/>
      <c r="FCD207" s="28"/>
      <c r="FCE207" s="28"/>
      <c r="FCF207" s="28"/>
      <c r="FCG207" s="28"/>
      <c r="FCH207" s="28"/>
      <c r="FCI207" s="28"/>
      <c r="FCJ207" s="28"/>
      <c r="FCK207" s="28"/>
      <c r="FCL207" s="28"/>
      <c r="FCM207" s="28"/>
      <c r="FCN207" s="28"/>
      <c r="FCO207" s="28"/>
      <c r="FCP207" s="28"/>
      <c r="FCQ207" s="28"/>
      <c r="FCR207" s="28"/>
      <c r="FCS207" s="28"/>
      <c r="FCT207" s="28"/>
      <c r="FCU207" s="28"/>
      <c r="FCV207" s="28"/>
      <c r="FCW207" s="28"/>
      <c r="FCX207" s="28"/>
      <c r="FCY207" s="28"/>
      <c r="FCZ207" s="28"/>
      <c r="FDA207" s="28"/>
      <c r="FDB207" s="28"/>
      <c r="FDC207" s="28"/>
      <c r="FDD207" s="28"/>
      <c r="FDE207" s="28"/>
      <c r="FDF207" s="28"/>
      <c r="FDG207" s="28"/>
      <c r="FDH207" s="28"/>
      <c r="FDI207" s="28"/>
      <c r="FDJ207" s="28"/>
      <c r="FDK207" s="28"/>
      <c r="FDL207" s="28"/>
      <c r="FDM207" s="28"/>
      <c r="FDN207" s="28"/>
      <c r="FDO207" s="28"/>
      <c r="FDP207" s="28"/>
      <c r="FDQ207" s="28"/>
      <c r="FDR207" s="28"/>
      <c r="FDS207" s="28"/>
      <c r="FDT207" s="28"/>
      <c r="FDU207" s="28"/>
      <c r="FDV207" s="28"/>
      <c r="FDW207" s="28"/>
      <c r="FDX207" s="28"/>
      <c r="FDY207" s="28"/>
      <c r="FDZ207" s="28"/>
      <c r="FEA207" s="28"/>
      <c r="FEB207" s="28"/>
      <c r="FEC207" s="28"/>
      <c r="FED207" s="28"/>
      <c r="FEE207" s="28"/>
      <c r="FEF207" s="28"/>
      <c r="FEG207" s="28"/>
      <c r="FEH207" s="28"/>
      <c r="FEI207" s="28"/>
      <c r="FEJ207" s="28"/>
      <c r="FEK207" s="28"/>
      <c r="FEL207" s="28"/>
      <c r="FEM207" s="28"/>
      <c r="FEN207" s="28"/>
      <c r="FEO207" s="28"/>
      <c r="FEP207" s="28"/>
      <c r="FEQ207" s="28"/>
      <c r="FER207" s="28"/>
      <c r="FES207" s="28"/>
      <c r="FET207" s="28"/>
      <c r="FEU207" s="28"/>
      <c r="FEV207" s="28"/>
      <c r="FEW207" s="28"/>
      <c r="FEX207" s="28"/>
      <c r="FEY207" s="28"/>
      <c r="FEZ207" s="28"/>
      <c r="FFA207" s="28"/>
      <c r="FFB207" s="28"/>
      <c r="FFC207" s="28"/>
      <c r="FFD207" s="28"/>
      <c r="FFE207" s="28"/>
      <c r="FFF207" s="28"/>
      <c r="FFG207" s="28"/>
      <c r="FFH207" s="28"/>
      <c r="FFI207" s="28"/>
      <c r="FFJ207" s="28"/>
      <c r="FFK207" s="28"/>
      <c r="FFL207" s="28"/>
      <c r="FFM207" s="28"/>
      <c r="FFN207" s="28"/>
      <c r="FFO207" s="28"/>
      <c r="FFP207" s="28"/>
      <c r="FFQ207" s="28"/>
      <c r="FFR207" s="28"/>
      <c r="FFS207" s="28"/>
      <c r="FFT207" s="28"/>
      <c r="FFU207" s="28"/>
      <c r="FFV207" s="28"/>
      <c r="FFW207" s="28"/>
      <c r="FFX207" s="28"/>
      <c r="FFY207" s="28"/>
      <c r="FFZ207" s="28"/>
      <c r="FGA207" s="28"/>
      <c r="FGB207" s="28"/>
      <c r="FGC207" s="28"/>
      <c r="FGD207" s="28"/>
      <c r="FGE207" s="28"/>
      <c r="FGF207" s="28"/>
      <c r="FGG207" s="28"/>
      <c r="FGH207" s="28"/>
      <c r="FGI207" s="28"/>
      <c r="FGJ207" s="28"/>
      <c r="FGK207" s="28"/>
      <c r="FGL207" s="28"/>
      <c r="FGM207" s="28"/>
      <c r="FGN207" s="28"/>
      <c r="FGO207" s="28"/>
      <c r="FGP207" s="28"/>
      <c r="FGQ207" s="28"/>
      <c r="FGR207" s="28"/>
      <c r="FGS207" s="28"/>
      <c r="FGT207" s="28"/>
      <c r="FGU207" s="28"/>
      <c r="FGV207" s="28"/>
      <c r="FGW207" s="28"/>
      <c r="FGX207" s="28"/>
      <c r="FGY207" s="28"/>
      <c r="FGZ207" s="28"/>
      <c r="FHA207" s="28"/>
      <c r="FHB207" s="28"/>
      <c r="FHC207" s="28"/>
      <c r="FHD207" s="28"/>
      <c r="FHE207" s="28"/>
      <c r="FHF207" s="28"/>
      <c r="FHG207" s="28"/>
      <c r="FHH207" s="28"/>
      <c r="FHI207" s="28"/>
      <c r="FHJ207" s="28"/>
      <c r="FHK207" s="28"/>
      <c r="FHL207" s="28"/>
      <c r="FHM207" s="28"/>
      <c r="FHN207" s="28"/>
      <c r="FHO207" s="28"/>
      <c r="FHP207" s="28"/>
      <c r="FHQ207" s="28"/>
      <c r="FHR207" s="28"/>
      <c r="FHS207" s="28"/>
      <c r="FHT207" s="28"/>
      <c r="FHU207" s="28"/>
      <c r="FHV207" s="28"/>
      <c r="FHW207" s="28"/>
      <c r="FHX207" s="28"/>
      <c r="FHY207" s="28"/>
      <c r="FHZ207" s="28"/>
      <c r="FIA207" s="28"/>
      <c r="FIB207" s="28"/>
      <c r="FIC207" s="28"/>
      <c r="FID207" s="28"/>
      <c r="FIE207" s="28"/>
      <c r="FIF207" s="28"/>
      <c r="FIG207" s="28"/>
      <c r="FIH207" s="28"/>
      <c r="FII207" s="28"/>
      <c r="FIJ207" s="28"/>
      <c r="FIK207" s="28"/>
      <c r="FIL207" s="28"/>
      <c r="FIM207" s="28"/>
      <c r="FIN207" s="28"/>
      <c r="FIO207" s="28"/>
      <c r="FIP207" s="28"/>
      <c r="FIQ207" s="28"/>
      <c r="FIR207" s="28"/>
      <c r="FIS207" s="28"/>
      <c r="FIT207" s="28"/>
      <c r="FIU207" s="28"/>
      <c r="FIV207" s="28"/>
      <c r="FIW207" s="28"/>
      <c r="FIX207" s="28"/>
      <c r="FIY207" s="28"/>
      <c r="FIZ207" s="28"/>
      <c r="FJA207" s="28"/>
      <c r="FJB207" s="28"/>
      <c r="FJC207" s="28"/>
      <c r="FJD207" s="28"/>
      <c r="FJE207" s="28"/>
      <c r="FJF207" s="28"/>
      <c r="FJG207" s="28"/>
      <c r="FJH207" s="28"/>
      <c r="FJI207" s="28"/>
      <c r="FJJ207" s="28"/>
      <c r="FJK207" s="28"/>
      <c r="FJL207" s="28"/>
      <c r="FJM207" s="28"/>
      <c r="FJN207" s="28"/>
      <c r="FJO207" s="28"/>
      <c r="FJP207" s="28"/>
      <c r="FJQ207" s="28"/>
      <c r="FJR207" s="28"/>
      <c r="FJS207" s="28"/>
      <c r="FJT207" s="28"/>
      <c r="FJU207" s="28"/>
      <c r="FJV207" s="28"/>
      <c r="FJW207" s="28"/>
      <c r="FJX207" s="28"/>
      <c r="FJY207" s="28"/>
      <c r="FJZ207" s="28"/>
      <c r="FKA207" s="28"/>
      <c r="FKB207" s="28"/>
      <c r="FKC207" s="28"/>
      <c r="FKD207" s="28"/>
      <c r="FKE207" s="28"/>
      <c r="FKF207" s="28"/>
      <c r="FKG207" s="28"/>
      <c r="FKH207" s="28"/>
      <c r="FKI207" s="28"/>
      <c r="FKJ207" s="28"/>
      <c r="FKK207" s="28"/>
      <c r="FKL207" s="28"/>
      <c r="FKM207" s="28"/>
      <c r="FKN207" s="28"/>
      <c r="FKO207" s="28"/>
      <c r="FKP207" s="28"/>
      <c r="FKQ207" s="28"/>
      <c r="FKR207" s="28"/>
      <c r="FKS207" s="28"/>
      <c r="FKT207" s="28"/>
      <c r="FKU207" s="28"/>
      <c r="FKV207" s="28"/>
      <c r="FKW207" s="28"/>
      <c r="FKX207" s="28"/>
      <c r="FKY207" s="28"/>
      <c r="FKZ207" s="28"/>
      <c r="FLA207" s="28"/>
      <c r="FLB207" s="28"/>
      <c r="FLC207" s="28"/>
      <c r="FLD207" s="28"/>
      <c r="FLE207" s="28"/>
      <c r="FLF207" s="28"/>
      <c r="FLG207" s="28"/>
      <c r="FLH207" s="28"/>
      <c r="FLI207" s="28"/>
      <c r="FLJ207" s="28"/>
      <c r="FLK207" s="28"/>
      <c r="FLL207" s="28"/>
      <c r="FLM207" s="28"/>
      <c r="FLN207" s="28"/>
      <c r="FLO207" s="28"/>
      <c r="FLP207" s="28"/>
      <c r="FLQ207" s="28"/>
      <c r="FLR207" s="28"/>
      <c r="FLS207" s="28"/>
      <c r="FLT207" s="28"/>
      <c r="FLU207" s="28"/>
      <c r="FLV207" s="28"/>
      <c r="FLW207" s="28"/>
      <c r="FLX207" s="28"/>
      <c r="FLY207" s="28"/>
      <c r="FLZ207" s="28"/>
      <c r="FMA207" s="28"/>
      <c r="FMB207" s="28"/>
      <c r="FMC207" s="28"/>
      <c r="FMD207" s="28"/>
      <c r="FME207" s="28"/>
      <c r="FMF207" s="28"/>
      <c r="FMG207" s="28"/>
      <c r="FMH207" s="28"/>
      <c r="FMI207" s="28"/>
      <c r="FMJ207" s="28"/>
      <c r="FMK207" s="28"/>
      <c r="FML207" s="28"/>
      <c r="FMM207" s="28"/>
      <c r="FMN207" s="28"/>
      <c r="FMO207" s="28"/>
      <c r="FMP207" s="28"/>
      <c r="FMQ207" s="28"/>
      <c r="FMR207" s="28"/>
      <c r="FMS207" s="28"/>
      <c r="FMT207" s="28"/>
      <c r="FMU207" s="28"/>
      <c r="FMV207" s="28"/>
      <c r="FMW207" s="28"/>
      <c r="FMX207" s="28"/>
      <c r="FMY207" s="28"/>
      <c r="FMZ207" s="28"/>
      <c r="FNA207" s="28"/>
      <c r="FNB207" s="28"/>
      <c r="FNC207" s="28"/>
      <c r="FND207" s="28"/>
      <c r="FNE207" s="28"/>
      <c r="FNF207" s="28"/>
      <c r="FNG207" s="28"/>
      <c r="FNH207" s="28"/>
      <c r="FNI207" s="28"/>
      <c r="FNJ207" s="28"/>
      <c r="FNK207" s="28"/>
      <c r="FNL207" s="28"/>
      <c r="FNM207" s="28"/>
      <c r="FNN207" s="28"/>
      <c r="FNO207" s="28"/>
      <c r="FNP207" s="28"/>
      <c r="FNQ207" s="28"/>
      <c r="FNR207" s="28"/>
      <c r="FNS207" s="28"/>
      <c r="FNT207" s="28"/>
      <c r="FNU207" s="28"/>
      <c r="FNV207" s="28"/>
      <c r="FNW207" s="28"/>
      <c r="FNX207" s="28"/>
      <c r="FNY207" s="28"/>
      <c r="FNZ207" s="28"/>
      <c r="FOA207" s="28"/>
      <c r="FOB207" s="28"/>
      <c r="FOC207" s="28"/>
      <c r="FOD207" s="28"/>
      <c r="FOE207" s="28"/>
      <c r="FOF207" s="28"/>
      <c r="FOG207" s="28"/>
      <c r="FOH207" s="28"/>
      <c r="FOI207" s="28"/>
      <c r="FOJ207" s="28"/>
      <c r="FOK207" s="28"/>
      <c r="FOL207" s="28"/>
      <c r="FOM207" s="28"/>
      <c r="FON207" s="28"/>
      <c r="FOO207" s="28"/>
      <c r="FOP207" s="28"/>
      <c r="FOQ207" s="28"/>
      <c r="FOR207" s="28"/>
      <c r="FOS207" s="28"/>
      <c r="FOT207" s="28"/>
      <c r="FOU207" s="28"/>
      <c r="FOV207" s="28"/>
      <c r="FOW207" s="28"/>
      <c r="FOX207" s="28"/>
      <c r="FOY207" s="28"/>
      <c r="FOZ207" s="28"/>
      <c r="FPA207" s="28"/>
      <c r="FPB207" s="28"/>
      <c r="FPC207" s="28"/>
      <c r="FPD207" s="28"/>
      <c r="FPE207" s="28"/>
      <c r="FPF207" s="28"/>
      <c r="FPG207" s="28"/>
      <c r="FPH207" s="28"/>
      <c r="FPI207" s="28"/>
      <c r="FPJ207" s="28"/>
      <c r="FPK207" s="28"/>
      <c r="FPL207" s="28"/>
      <c r="FPM207" s="28"/>
      <c r="FPN207" s="28"/>
      <c r="FPO207" s="28"/>
      <c r="FPP207" s="28"/>
      <c r="FPQ207" s="28"/>
      <c r="FPR207" s="28"/>
      <c r="FPS207" s="28"/>
      <c r="FPT207" s="28"/>
      <c r="FPU207" s="28"/>
      <c r="FPV207" s="28"/>
      <c r="FPW207" s="28"/>
      <c r="FPX207" s="28"/>
      <c r="FPY207" s="28"/>
      <c r="FPZ207" s="28"/>
      <c r="FQA207" s="28"/>
      <c r="FQB207" s="28"/>
      <c r="FQC207" s="28"/>
      <c r="FQD207" s="28"/>
      <c r="FQE207" s="28"/>
      <c r="FQF207" s="28"/>
      <c r="FQG207" s="28"/>
      <c r="FQH207" s="28"/>
      <c r="FQI207" s="28"/>
      <c r="FQJ207" s="28"/>
      <c r="FQK207" s="28"/>
      <c r="FQL207" s="28"/>
      <c r="FQM207" s="28"/>
      <c r="FQN207" s="28"/>
      <c r="FQO207" s="28"/>
      <c r="FQP207" s="28"/>
      <c r="FQQ207" s="28"/>
      <c r="FQR207" s="28"/>
      <c r="FQS207" s="28"/>
      <c r="FQT207" s="28"/>
      <c r="FQU207" s="28"/>
      <c r="FQV207" s="28"/>
      <c r="FQW207" s="28"/>
      <c r="FQX207" s="28"/>
      <c r="FQY207" s="28"/>
      <c r="FQZ207" s="28"/>
      <c r="FRA207" s="28"/>
      <c r="FRB207" s="28"/>
      <c r="FRC207" s="28"/>
      <c r="FRD207" s="28"/>
      <c r="FRE207" s="28"/>
      <c r="FRF207" s="28"/>
      <c r="FRG207" s="28"/>
      <c r="FRH207" s="28"/>
      <c r="FRI207" s="28"/>
      <c r="FRJ207" s="28"/>
      <c r="FRK207" s="28"/>
      <c r="FRL207" s="28"/>
      <c r="FRM207" s="28"/>
      <c r="FRN207" s="28"/>
      <c r="FRO207" s="28"/>
      <c r="FRP207" s="28"/>
      <c r="FRQ207" s="28"/>
      <c r="FRR207" s="28"/>
      <c r="FRS207" s="28"/>
      <c r="FRT207" s="28"/>
      <c r="FRU207" s="28"/>
      <c r="FRV207" s="28"/>
      <c r="FRW207" s="28"/>
      <c r="FRX207" s="28"/>
      <c r="FRY207" s="28"/>
      <c r="FRZ207" s="28"/>
      <c r="FSA207" s="28"/>
      <c r="FSB207" s="28"/>
      <c r="FSC207" s="28"/>
      <c r="FSD207" s="28"/>
      <c r="FSE207" s="28"/>
      <c r="FSF207" s="28"/>
      <c r="FSG207" s="28"/>
      <c r="FSH207" s="28"/>
      <c r="FSI207" s="28"/>
      <c r="FSJ207" s="28"/>
      <c r="FSK207" s="28"/>
      <c r="FSL207" s="28"/>
      <c r="FSM207" s="28"/>
      <c r="FSN207" s="28"/>
      <c r="FSO207" s="28"/>
      <c r="FSP207" s="28"/>
      <c r="FSQ207" s="28"/>
      <c r="FSR207" s="28"/>
      <c r="FSS207" s="28"/>
      <c r="FST207" s="28"/>
      <c r="FSU207" s="28"/>
      <c r="FSV207" s="28"/>
      <c r="FSW207" s="28"/>
      <c r="FSX207" s="28"/>
      <c r="FSY207" s="28"/>
      <c r="FSZ207" s="28"/>
      <c r="FTA207" s="28"/>
      <c r="FTB207" s="28"/>
      <c r="FTC207" s="28"/>
      <c r="FTD207" s="28"/>
      <c r="FTE207" s="28"/>
      <c r="FTF207" s="28"/>
      <c r="FTG207" s="28"/>
      <c r="FTH207" s="28"/>
      <c r="FTI207" s="28"/>
      <c r="FTJ207" s="28"/>
      <c r="FTK207" s="28"/>
      <c r="FTL207" s="28"/>
      <c r="FTM207" s="28"/>
      <c r="FTN207" s="28"/>
      <c r="FTO207" s="28"/>
      <c r="FTP207" s="28"/>
      <c r="FTQ207" s="28"/>
      <c r="FTR207" s="28"/>
      <c r="FTS207" s="28"/>
      <c r="FTT207" s="28"/>
      <c r="FTU207" s="28"/>
      <c r="FTV207" s="28"/>
      <c r="FTW207" s="28"/>
      <c r="FTX207" s="28"/>
      <c r="FTY207" s="28"/>
      <c r="FTZ207" s="28"/>
      <c r="FUA207" s="28"/>
      <c r="FUB207" s="28"/>
      <c r="FUC207" s="28"/>
      <c r="FUD207" s="28"/>
      <c r="FUE207" s="28"/>
      <c r="FUF207" s="28"/>
      <c r="FUG207" s="28"/>
      <c r="FUH207" s="28"/>
      <c r="FUI207" s="28"/>
      <c r="FUJ207" s="28"/>
      <c r="FUK207" s="28"/>
      <c r="FUL207" s="28"/>
      <c r="FUM207" s="28"/>
      <c r="FUN207" s="28"/>
      <c r="FUO207" s="28"/>
      <c r="FUP207" s="28"/>
      <c r="FUQ207" s="28"/>
      <c r="FUR207" s="28"/>
      <c r="FUS207" s="28"/>
      <c r="FUT207" s="28"/>
      <c r="FUU207" s="28"/>
      <c r="FUV207" s="28"/>
      <c r="FUW207" s="28"/>
      <c r="FUX207" s="28"/>
      <c r="FUY207" s="28"/>
      <c r="FUZ207" s="28"/>
      <c r="FVA207" s="28"/>
      <c r="FVB207" s="28"/>
      <c r="FVC207" s="28"/>
      <c r="FVD207" s="28"/>
      <c r="FVE207" s="28"/>
      <c r="FVF207" s="28"/>
      <c r="FVG207" s="28"/>
      <c r="FVH207" s="28"/>
      <c r="FVI207" s="28"/>
      <c r="FVJ207" s="28"/>
      <c r="FVK207" s="28"/>
      <c r="FVL207" s="28"/>
      <c r="FVM207" s="28"/>
      <c r="FVN207" s="28"/>
      <c r="FVO207" s="28"/>
      <c r="FVP207" s="28"/>
      <c r="FVQ207" s="28"/>
      <c r="FVR207" s="28"/>
      <c r="FVS207" s="28"/>
      <c r="FVT207" s="28"/>
      <c r="FVU207" s="28"/>
      <c r="FVV207" s="28"/>
      <c r="FVW207" s="28"/>
      <c r="FVX207" s="28"/>
      <c r="FVY207" s="28"/>
      <c r="FVZ207" s="28"/>
      <c r="FWA207" s="28"/>
      <c r="FWB207" s="28"/>
      <c r="FWC207" s="28"/>
      <c r="FWD207" s="28"/>
      <c r="FWE207" s="28"/>
      <c r="FWF207" s="28"/>
      <c r="FWG207" s="28"/>
      <c r="FWH207" s="28"/>
      <c r="FWI207" s="28"/>
      <c r="FWJ207" s="28"/>
      <c r="FWK207" s="28"/>
      <c r="FWL207" s="28"/>
      <c r="FWM207" s="28"/>
      <c r="FWN207" s="28"/>
      <c r="FWO207" s="28"/>
      <c r="FWP207" s="28"/>
      <c r="FWQ207" s="28"/>
      <c r="FWR207" s="28"/>
      <c r="FWS207" s="28"/>
      <c r="FWT207" s="28"/>
      <c r="FWU207" s="28"/>
      <c r="FWV207" s="28"/>
      <c r="FWW207" s="28"/>
      <c r="FWX207" s="28"/>
      <c r="FWY207" s="28"/>
      <c r="FWZ207" s="28"/>
      <c r="FXA207" s="28"/>
      <c r="FXB207" s="28"/>
      <c r="FXC207" s="28"/>
      <c r="FXD207" s="28"/>
      <c r="FXE207" s="28"/>
      <c r="FXF207" s="28"/>
      <c r="FXG207" s="28"/>
      <c r="FXH207" s="28"/>
      <c r="FXI207" s="28"/>
      <c r="FXJ207" s="28"/>
      <c r="FXK207" s="28"/>
      <c r="FXL207" s="28"/>
      <c r="FXM207" s="28"/>
      <c r="FXN207" s="28"/>
      <c r="FXO207" s="28"/>
      <c r="FXP207" s="28"/>
      <c r="FXQ207" s="28"/>
      <c r="FXR207" s="28"/>
      <c r="FXS207" s="28"/>
      <c r="FXT207" s="28"/>
      <c r="FXU207" s="28"/>
      <c r="FXV207" s="28"/>
      <c r="FXW207" s="28"/>
      <c r="FXX207" s="28"/>
      <c r="FXY207" s="28"/>
      <c r="FXZ207" s="28"/>
      <c r="FYA207" s="28"/>
      <c r="FYB207" s="28"/>
      <c r="FYC207" s="28"/>
      <c r="FYD207" s="28"/>
      <c r="FYE207" s="28"/>
      <c r="FYF207" s="28"/>
      <c r="FYG207" s="28"/>
      <c r="FYH207" s="28"/>
      <c r="FYI207" s="28"/>
      <c r="FYJ207" s="28"/>
      <c r="FYK207" s="28"/>
      <c r="FYL207" s="28"/>
      <c r="FYM207" s="28"/>
      <c r="FYN207" s="28"/>
      <c r="FYO207" s="28"/>
      <c r="FYP207" s="28"/>
      <c r="FYQ207" s="28"/>
      <c r="FYR207" s="28"/>
      <c r="FYS207" s="28"/>
      <c r="FYT207" s="28"/>
      <c r="FYU207" s="28"/>
      <c r="FYV207" s="28"/>
      <c r="FYW207" s="28"/>
      <c r="FYX207" s="28"/>
      <c r="FYY207" s="28"/>
      <c r="FYZ207" s="28"/>
      <c r="FZA207" s="28"/>
      <c r="FZB207" s="28"/>
      <c r="FZC207" s="28"/>
      <c r="FZD207" s="28"/>
      <c r="FZE207" s="28"/>
      <c r="FZF207" s="28"/>
      <c r="FZG207" s="28"/>
      <c r="FZH207" s="28"/>
      <c r="FZI207" s="28"/>
      <c r="FZJ207" s="28"/>
      <c r="FZK207" s="28"/>
      <c r="FZL207" s="28"/>
      <c r="FZM207" s="28"/>
      <c r="FZN207" s="28"/>
      <c r="FZO207" s="28"/>
      <c r="FZP207" s="28"/>
      <c r="FZQ207" s="28"/>
      <c r="FZR207" s="28"/>
      <c r="FZS207" s="28"/>
      <c r="FZT207" s="28"/>
      <c r="FZU207" s="28"/>
      <c r="FZV207" s="28"/>
      <c r="FZW207" s="28"/>
      <c r="FZX207" s="28"/>
      <c r="FZY207" s="28"/>
      <c r="FZZ207" s="28"/>
      <c r="GAA207" s="28"/>
      <c r="GAB207" s="28"/>
      <c r="GAC207" s="28"/>
      <c r="GAD207" s="28"/>
      <c r="GAE207" s="28"/>
      <c r="GAF207" s="28"/>
      <c r="GAG207" s="28"/>
      <c r="GAH207" s="28"/>
      <c r="GAI207" s="28"/>
      <c r="GAJ207" s="28"/>
      <c r="GAK207" s="28"/>
      <c r="GAL207" s="28"/>
      <c r="GAM207" s="28"/>
      <c r="GAN207" s="28"/>
      <c r="GAO207" s="28"/>
      <c r="GAP207" s="28"/>
      <c r="GAQ207" s="28"/>
      <c r="GAR207" s="28"/>
      <c r="GAS207" s="28"/>
      <c r="GAT207" s="28"/>
      <c r="GAU207" s="28"/>
      <c r="GAV207" s="28"/>
      <c r="GAW207" s="28"/>
      <c r="GAX207" s="28"/>
      <c r="GAY207" s="28"/>
      <c r="GAZ207" s="28"/>
      <c r="GBA207" s="28"/>
      <c r="GBB207" s="28"/>
      <c r="GBC207" s="28"/>
      <c r="GBD207" s="28"/>
      <c r="GBE207" s="28"/>
      <c r="GBF207" s="28"/>
      <c r="GBG207" s="28"/>
      <c r="GBH207" s="28"/>
      <c r="GBI207" s="28"/>
      <c r="GBJ207" s="28"/>
      <c r="GBK207" s="28"/>
      <c r="GBL207" s="28"/>
      <c r="GBM207" s="28"/>
      <c r="GBN207" s="28"/>
      <c r="GBO207" s="28"/>
      <c r="GBP207" s="28"/>
      <c r="GBQ207" s="28"/>
      <c r="GBR207" s="28"/>
      <c r="GBS207" s="28"/>
      <c r="GBT207" s="28"/>
      <c r="GBU207" s="28"/>
      <c r="GBV207" s="28"/>
      <c r="GBW207" s="28"/>
      <c r="GBX207" s="28"/>
      <c r="GBY207" s="28"/>
      <c r="GBZ207" s="28"/>
      <c r="GCA207" s="28"/>
      <c r="GCB207" s="28"/>
      <c r="GCC207" s="28"/>
      <c r="GCD207" s="28"/>
      <c r="GCE207" s="28"/>
      <c r="GCF207" s="28"/>
      <c r="GCG207" s="28"/>
      <c r="GCH207" s="28"/>
      <c r="GCI207" s="28"/>
      <c r="GCJ207" s="28"/>
      <c r="GCK207" s="28"/>
      <c r="GCL207" s="28"/>
      <c r="GCM207" s="28"/>
      <c r="GCN207" s="28"/>
      <c r="GCO207" s="28"/>
      <c r="GCP207" s="28"/>
      <c r="GCQ207" s="28"/>
      <c r="GCR207" s="28"/>
      <c r="GCS207" s="28"/>
      <c r="GCT207" s="28"/>
      <c r="GCU207" s="28"/>
      <c r="GCV207" s="28"/>
      <c r="GCW207" s="28"/>
      <c r="GCX207" s="28"/>
      <c r="GCY207" s="28"/>
      <c r="GCZ207" s="28"/>
      <c r="GDA207" s="28"/>
      <c r="GDB207" s="28"/>
      <c r="GDC207" s="28"/>
      <c r="GDD207" s="28"/>
      <c r="GDE207" s="28"/>
      <c r="GDF207" s="28"/>
      <c r="GDG207" s="28"/>
      <c r="GDH207" s="28"/>
      <c r="GDI207" s="28"/>
      <c r="GDJ207" s="28"/>
      <c r="GDK207" s="28"/>
      <c r="GDL207" s="28"/>
      <c r="GDM207" s="28"/>
      <c r="GDN207" s="28"/>
      <c r="GDO207" s="28"/>
      <c r="GDP207" s="28"/>
      <c r="GDQ207" s="28"/>
      <c r="GDR207" s="28"/>
      <c r="GDS207" s="28"/>
      <c r="GDT207" s="28"/>
      <c r="GDU207" s="28"/>
      <c r="GDV207" s="28"/>
      <c r="GDW207" s="28"/>
      <c r="GDX207" s="28"/>
      <c r="GDY207" s="28"/>
      <c r="GDZ207" s="28"/>
      <c r="GEA207" s="28"/>
      <c r="GEB207" s="28"/>
      <c r="GEC207" s="28"/>
      <c r="GED207" s="28"/>
      <c r="GEE207" s="28"/>
      <c r="GEF207" s="28"/>
      <c r="GEG207" s="28"/>
      <c r="GEH207" s="28"/>
      <c r="GEI207" s="28"/>
      <c r="GEJ207" s="28"/>
      <c r="GEK207" s="28"/>
      <c r="GEL207" s="28"/>
      <c r="GEM207" s="28"/>
      <c r="GEN207" s="28"/>
      <c r="GEO207" s="28"/>
      <c r="GEP207" s="28"/>
      <c r="GEQ207" s="28"/>
      <c r="GER207" s="28"/>
      <c r="GES207" s="28"/>
      <c r="GET207" s="28"/>
      <c r="GEU207" s="28"/>
      <c r="GEV207" s="28"/>
      <c r="GEW207" s="28"/>
      <c r="GEX207" s="28"/>
      <c r="GEY207" s="28"/>
      <c r="GEZ207" s="28"/>
      <c r="GFA207" s="28"/>
      <c r="GFB207" s="28"/>
      <c r="GFC207" s="28"/>
      <c r="GFD207" s="28"/>
      <c r="GFE207" s="28"/>
      <c r="GFF207" s="28"/>
      <c r="GFG207" s="28"/>
      <c r="GFH207" s="28"/>
      <c r="GFI207" s="28"/>
      <c r="GFJ207" s="28"/>
      <c r="GFK207" s="28"/>
      <c r="GFL207" s="28"/>
      <c r="GFM207" s="28"/>
      <c r="GFN207" s="28"/>
      <c r="GFO207" s="28"/>
      <c r="GFP207" s="28"/>
      <c r="GFQ207" s="28"/>
      <c r="GFR207" s="28"/>
      <c r="GFS207" s="28"/>
      <c r="GFT207" s="28"/>
      <c r="GFU207" s="28"/>
      <c r="GFV207" s="28"/>
      <c r="GFW207" s="28"/>
      <c r="GFX207" s="28"/>
      <c r="GFY207" s="28"/>
      <c r="GFZ207" s="28"/>
      <c r="GGA207" s="28"/>
      <c r="GGB207" s="28"/>
      <c r="GGC207" s="28"/>
      <c r="GGD207" s="28"/>
      <c r="GGE207" s="28"/>
      <c r="GGF207" s="28"/>
      <c r="GGG207" s="28"/>
      <c r="GGH207" s="28"/>
      <c r="GGI207" s="28"/>
      <c r="GGJ207" s="28"/>
      <c r="GGK207" s="28"/>
      <c r="GGL207" s="28"/>
      <c r="GGM207" s="28"/>
      <c r="GGN207" s="28"/>
      <c r="GGO207" s="28"/>
      <c r="GGP207" s="28"/>
      <c r="GGQ207" s="28"/>
      <c r="GGR207" s="28"/>
      <c r="GGS207" s="28"/>
      <c r="GGT207" s="28"/>
      <c r="GGU207" s="28"/>
      <c r="GGV207" s="28"/>
      <c r="GGW207" s="28"/>
      <c r="GGX207" s="28"/>
      <c r="GGY207" s="28"/>
      <c r="GGZ207" s="28"/>
      <c r="GHA207" s="28"/>
      <c r="GHB207" s="28"/>
      <c r="GHC207" s="28"/>
      <c r="GHD207" s="28"/>
      <c r="GHE207" s="28"/>
      <c r="GHF207" s="28"/>
      <c r="GHG207" s="28"/>
      <c r="GHH207" s="28"/>
      <c r="GHI207" s="28"/>
      <c r="GHJ207" s="28"/>
      <c r="GHK207" s="28"/>
      <c r="GHL207" s="28"/>
      <c r="GHM207" s="28"/>
      <c r="GHN207" s="28"/>
      <c r="GHO207" s="28"/>
      <c r="GHP207" s="28"/>
      <c r="GHQ207" s="28"/>
      <c r="GHR207" s="28"/>
      <c r="GHS207" s="28"/>
      <c r="GHT207" s="28"/>
      <c r="GHU207" s="28"/>
      <c r="GHV207" s="28"/>
      <c r="GHW207" s="28"/>
      <c r="GHX207" s="28"/>
      <c r="GHY207" s="28"/>
      <c r="GHZ207" s="28"/>
      <c r="GIA207" s="28"/>
      <c r="GIB207" s="28"/>
      <c r="GIC207" s="28"/>
      <c r="GID207" s="28"/>
      <c r="GIE207" s="28"/>
      <c r="GIF207" s="28"/>
      <c r="GIG207" s="28"/>
      <c r="GIH207" s="28"/>
      <c r="GII207" s="28"/>
      <c r="GIJ207" s="28"/>
      <c r="GIK207" s="28"/>
      <c r="GIL207" s="28"/>
      <c r="GIM207" s="28"/>
      <c r="GIN207" s="28"/>
      <c r="GIO207" s="28"/>
      <c r="GIP207" s="28"/>
      <c r="GIQ207" s="28"/>
      <c r="GIR207" s="28"/>
      <c r="GIS207" s="28"/>
      <c r="GIT207" s="28"/>
      <c r="GIU207" s="28"/>
      <c r="GIV207" s="28"/>
      <c r="GIW207" s="28"/>
      <c r="GIX207" s="28"/>
      <c r="GIY207" s="28"/>
      <c r="GIZ207" s="28"/>
      <c r="GJA207" s="28"/>
      <c r="GJB207" s="28"/>
      <c r="GJC207" s="28"/>
      <c r="GJD207" s="28"/>
      <c r="GJE207" s="28"/>
      <c r="GJF207" s="28"/>
      <c r="GJG207" s="28"/>
      <c r="GJH207" s="28"/>
      <c r="GJI207" s="28"/>
      <c r="GJJ207" s="28"/>
      <c r="GJK207" s="28"/>
      <c r="GJL207" s="28"/>
      <c r="GJM207" s="28"/>
      <c r="GJN207" s="28"/>
      <c r="GJO207" s="28"/>
      <c r="GJP207" s="28"/>
      <c r="GJQ207" s="28"/>
      <c r="GJR207" s="28"/>
      <c r="GJS207" s="28"/>
      <c r="GJT207" s="28"/>
      <c r="GJU207" s="28"/>
      <c r="GJV207" s="28"/>
      <c r="GJW207" s="28"/>
      <c r="GJX207" s="28"/>
      <c r="GJY207" s="28"/>
      <c r="GJZ207" s="28"/>
      <c r="GKA207" s="28"/>
      <c r="GKB207" s="28"/>
      <c r="GKC207" s="28"/>
      <c r="GKD207" s="28"/>
      <c r="GKE207" s="28"/>
      <c r="GKF207" s="28"/>
      <c r="GKG207" s="28"/>
      <c r="GKH207" s="28"/>
      <c r="GKI207" s="28"/>
      <c r="GKJ207" s="28"/>
      <c r="GKK207" s="28"/>
      <c r="GKL207" s="28"/>
      <c r="GKM207" s="28"/>
      <c r="GKN207" s="28"/>
      <c r="GKO207" s="28"/>
      <c r="GKP207" s="28"/>
      <c r="GKQ207" s="28"/>
      <c r="GKR207" s="28"/>
      <c r="GKS207" s="28"/>
      <c r="GKT207" s="28"/>
      <c r="GKU207" s="28"/>
      <c r="GKV207" s="28"/>
      <c r="GKW207" s="28"/>
      <c r="GKX207" s="28"/>
      <c r="GKY207" s="28"/>
      <c r="GKZ207" s="28"/>
      <c r="GLA207" s="28"/>
      <c r="GLB207" s="28"/>
      <c r="GLC207" s="28"/>
      <c r="GLD207" s="28"/>
      <c r="GLE207" s="28"/>
      <c r="GLF207" s="28"/>
      <c r="GLG207" s="28"/>
      <c r="GLH207" s="28"/>
      <c r="GLI207" s="28"/>
      <c r="GLJ207" s="28"/>
      <c r="GLK207" s="28"/>
    </row>
    <row r="208" spans="1:5055" s="28" customFormat="1">
      <c r="A208" s="78">
        <v>205</v>
      </c>
      <c r="B208" s="77" t="s">
        <v>174</v>
      </c>
      <c r="C208" s="33" t="s">
        <v>284</v>
      </c>
      <c r="D208" s="31" t="s">
        <v>178</v>
      </c>
      <c r="E208" s="7">
        <v>46202</v>
      </c>
      <c r="F208" s="11" t="s">
        <v>282</v>
      </c>
      <c r="G208" s="11" t="s">
        <v>281</v>
      </c>
      <c r="H208" s="4" t="s">
        <v>0</v>
      </c>
      <c r="I208" s="5">
        <v>4758</v>
      </c>
      <c r="J208" s="6" t="s">
        <v>92</v>
      </c>
      <c r="K208" s="2">
        <v>8000</v>
      </c>
      <c r="L208" s="2">
        <f t="shared" ref="L208:L209" si="321">+K208*0.975</f>
        <v>7800</v>
      </c>
      <c r="M208" s="12">
        <f t="shared" ref="M208:M209" si="322">+L208-K208</f>
        <v>-200</v>
      </c>
      <c r="N208" s="21">
        <f t="shared" ref="N208:N209" si="323">+L208/K208</f>
        <v>0.97499999999999998</v>
      </c>
      <c r="O208" s="56">
        <f>E208+P208+1+3</f>
        <v>46226.830729492147</v>
      </c>
      <c r="P208" s="25">
        <f t="shared" ref="P208:P209" si="324">+L208/Q208</f>
        <v>20.830729492146816</v>
      </c>
      <c r="Q208" s="51">
        <f t="shared" ref="Q208:Q209" si="325">630*40/60*0.975*0.9144</f>
        <v>374.4468</v>
      </c>
    </row>
    <row r="209" spans="1:5055" s="38" customFormat="1">
      <c r="A209" s="78">
        <v>206</v>
      </c>
      <c r="B209" s="77" t="s">
        <v>174</v>
      </c>
      <c r="C209" s="33" t="s">
        <v>284</v>
      </c>
      <c r="D209" s="31" t="s">
        <v>178</v>
      </c>
      <c r="E209" s="7">
        <v>46212</v>
      </c>
      <c r="F209" s="11" t="s">
        <v>368</v>
      </c>
      <c r="G209" s="11" t="s">
        <v>367</v>
      </c>
      <c r="H209" s="4" t="s">
        <v>0</v>
      </c>
      <c r="I209" s="5">
        <v>4758</v>
      </c>
      <c r="J209" s="6" t="s">
        <v>163</v>
      </c>
      <c r="K209" s="2">
        <v>8000</v>
      </c>
      <c r="L209" s="2">
        <f t="shared" si="321"/>
        <v>7800</v>
      </c>
      <c r="M209" s="12">
        <f t="shared" si="322"/>
        <v>-200</v>
      </c>
      <c r="N209" s="21">
        <f t="shared" si="323"/>
        <v>0.97499999999999998</v>
      </c>
      <c r="O209" s="8">
        <f>+E209+P209+1+4</f>
        <v>46237.830729492147</v>
      </c>
      <c r="P209" s="25">
        <f t="shared" si="324"/>
        <v>20.830729492146816</v>
      </c>
      <c r="Q209" s="51">
        <f t="shared" si="325"/>
        <v>374.4468</v>
      </c>
      <c r="R209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  <c r="FS209" s="28"/>
      <c r="FT209" s="28"/>
      <c r="FU209" s="28"/>
      <c r="FV209" s="28"/>
      <c r="FW209" s="28"/>
      <c r="FX209" s="28"/>
      <c r="FY209" s="28"/>
      <c r="FZ209" s="28"/>
      <c r="GA209" s="28"/>
      <c r="GB209" s="28"/>
      <c r="GC209" s="28"/>
      <c r="GD209" s="28"/>
      <c r="GE209" s="28"/>
      <c r="GF209" s="28"/>
      <c r="GG209" s="28"/>
      <c r="GH209" s="28"/>
      <c r="GI209" s="28"/>
      <c r="GJ209" s="28"/>
      <c r="GK209" s="28"/>
      <c r="GL209" s="28"/>
      <c r="GM209" s="28"/>
      <c r="GN209" s="28"/>
      <c r="GO209" s="28"/>
      <c r="GP209" s="28"/>
      <c r="GQ209" s="28"/>
      <c r="GR209" s="28"/>
      <c r="GS209" s="28"/>
      <c r="GT209" s="28"/>
      <c r="GU209" s="28"/>
      <c r="GV209" s="28"/>
      <c r="GW209" s="28"/>
      <c r="GX209" s="28"/>
      <c r="GY209" s="28"/>
      <c r="GZ209" s="28"/>
      <c r="HA209" s="28"/>
      <c r="HB209" s="28"/>
      <c r="HC209" s="28"/>
      <c r="HD209" s="28"/>
      <c r="HE209" s="28"/>
      <c r="HF209" s="28"/>
      <c r="HG209" s="28"/>
      <c r="HH209" s="28"/>
      <c r="HI209" s="28"/>
      <c r="HJ209" s="28"/>
      <c r="HK209" s="28"/>
      <c r="HL209" s="28"/>
      <c r="HM209" s="28"/>
      <c r="HN209" s="28"/>
      <c r="HO209" s="28"/>
      <c r="HP209" s="28"/>
      <c r="HQ209" s="28"/>
      <c r="HR209" s="28"/>
      <c r="HS209" s="28"/>
      <c r="HT209" s="28"/>
      <c r="HU209" s="28"/>
      <c r="HV209" s="28"/>
      <c r="HW209" s="28"/>
      <c r="HX209" s="28"/>
      <c r="HY209" s="28"/>
      <c r="HZ209" s="28"/>
      <c r="IA209" s="28"/>
      <c r="IB209" s="28"/>
      <c r="IC209" s="28"/>
      <c r="ID209" s="28"/>
      <c r="IE209" s="28"/>
      <c r="IF209" s="28"/>
      <c r="IG209" s="28"/>
      <c r="IH209" s="28"/>
      <c r="II209" s="28"/>
      <c r="IJ209" s="28"/>
      <c r="IK209" s="28"/>
      <c r="IL209" s="28"/>
      <c r="IM209" s="28"/>
      <c r="IN209" s="28"/>
      <c r="IO209" s="28"/>
      <c r="IP209" s="28"/>
      <c r="IQ209" s="28"/>
      <c r="IR209" s="28"/>
      <c r="IS209" s="28"/>
      <c r="IT209" s="28"/>
      <c r="IU209" s="28"/>
      <c r="IV209" s="28"/>
      <c r="IW209" s="28"/>
      <c r="IX209" s="28"/>
      <c r="IY209" s="28"/>
      <c r="IZ209" s="28"/>
      <c r="JA209" s="28"/>
      <c r="JB209" s="28"/>
      <c r="JC209" s="28"/>
      <c r="JD209" s="28"/>
      <c r="JE209" s="28"/>
      <c r="JF209" s="28"/>
      <c r="JG209" s="28"/>
      <c r="JH209" s="28"/>
      <c r="JI209" s="28"/>
      <c r="JJ209" s="28"/>
      <c r="JK209" s="28"/>
      <c r="JL209" s="28"/>
      <c r="JM209" s="28"/>
      <c r="JN209" s="28"/>
      <c r="JO209" s="28"/>
      <c r="JP209" s="28"/>
      <c r="JQ209" s="28"/>
      <c r="JR209" s="28"/>
      <c r="JS209" s="28"/>
      <c r="JT209" s="28"/>
      <c r="JU209" s="28"/>
      <c r="JV209" s="28"/>
      <c r="JW209" s="28"/>
      <c r="JX209" s="28"/>
      <c r="JY209" s="28"/>
      <c r="JZ209" s="28"/>
      <c r="KA209" s="28"/>
      <c r="KB209" s="28"/>
      <c r="KC209" s="28"/>
      <c r="KD209" s="28"/>
      <c r="KE209" s="28"/>
      <c r="KF209" s="28"/>
      <c r="KG209" s="28"/>
      <c r="KH209" s="28"/>
      <c r="KI209" s="28"/>
      <c r="KJ209" s="28"/>
      <c r="KK209" s="28"/>
      <c r="KL209" s="28"/>
      <c r="KM209" s="28"/>
      <c r="KN209" s="28"/>
      <c r="KO209" s="28"/>
      <c r="KP209" s="28"/>
      <c r="KQ209" s="28"/>
      <c r="KR209" s="28"/>
      <c r="KS209" s="28"/>
      <c r="KT209" s="28"/>
      <c r="KU209" s="28"/>
      <c r="KV209" s="28"/>
      <c r="KW209" s="28"/>
      <c r="KX209" s="28"/>
      <c r="KY209" s="28"/>
      <c r="KZ209" s="28"/>
      <c r="LA209" s="28"/>
      <c r="LB209" s="28"/>
      <c r="LC209" s="28"/>
      <c r="LD209" s="28"/>
      <c r="LE209" s="28"/>
      <c r="LF209" s="28"/>
      <c r="LG209" s="28"/>
      <c r="LH209" s="28"/>
      <c r="LI209" s="28"/>
      <c r="LJ209" s="28"/>
      <c r="LK209" s="28"/>
      <c r="LL209" s="28"/>
      <c r="LM209" s="28"/>
      <c r="LN209" s="28"/>
      <c r="LO209" s="28"/>
      <c r="LP209" s="28"/>
      <c r="LQ209" s="28"/>
      <c r="LR209" s="28"/>
      <c r="LS209" s="28"/>
      <c r="LT209" s="28"/>
      <c r="LU209" s="28"/>
      <c r="LV209" s="28"/>
      <c r="LW209" s="28"/>
      <c r="LX209" s="28"/>
      <c r="LY209" s="28"/>
      <c r="LZ209" s="28"/>
      <c r="MA209" s="28"/>
      <c r="MB209" s="28"/>
      <c r="MC209" s="28"/>
      <c r="MD209" s="28"/>
      <c r="ME209" s="28"/>
      <c r="MF209" s="28"/>
      <c r="MG209" s="28"/>
      <c r="MH209" s="28"/>
      <c r="MI209" s="28"/>
      <c r="MJ209" s="28"/>
      <c r="MK209" s="28"/>
      <c r="ML209" s="28"/>
      <c r="MM209" s="28"/>
      <c r="MN209" s="28"/>
      <c r="MO209" s="28"/>
      <c r="MP209" s="28"/>
      <c r="MQ209" s="28"/>
      <c r="MR209" s="28"/>
      <c r="MS209" s="28"/>
      <c r="MT209" s="28"/>
      <c r="MU209" s="28"/>
      <c r="MV209" s="28"/>
      <c r="MW209" s="28"/>
      <c r="MX209" s="28"/>
      <c r="MY209" s="28"/>
      <c r="MZ209" s="28"/>
      <c r="NA209" s="28"/>
      <c r="NB209" s="28"/>
      <c r="NC209" s="28"/>
      <c r="ND209" s="28"/>
      <c r="NE209" s="28"/>
      <c r="NF209" s="28"/>
      <c r="NG209" s="28"/>
      <c r="NH209" s="28"/>
      <c r="NI209" s="28"/>
      <c r="NJ209" s="28"/>
      <c r="NK209" s="28"/>
      <c r="NL209" s="28"/>
      <c r="NM209" s="28"/>
      <c r="NN209" s="28"/>
      <c r="NO209" s="28"/>
      <c r="NP209" s="28"/>
      <c r="NQ209" s="28"/>
      <c r="NR209" s="28"/>
      <c r="NS209" s="28"/>
      <c r="NT209" s="28"/>
      <c r="NU209" s="28"/>
      <c r="NV209" s="28"/>
      <c r="NW209" s="28"/>
      <c r="NX209" s="28"/>
      <c r="NY209" s="28"/>
      <c r="NZ209" s="28"/>
      <c r="OA209" s="28"/>
      <c r="OB209" s="28"/>
      <c r="OC209" s="28"/>
      <c r="OD209" s="28"/>
      <c r="OE209" s="28"/>
      <c r="OF209" s="28"/>
      <c r="OG209" s="28"/>
      <c r="OH209" s="28"/>
      <c r="OI209" s="28"/>
      <c r="OJ209" s="28"/>
      <c r="OK209" s="28"/>
      <c r="OL209" s="28"/>
      <c r="OM209" s="28"/>
      <c r="ON209" s="28"/>
      <c r="OO209" s="28"/>
      <c r="OP209" s="28"/>
      <c r="OQ209" s="28"/>
      <c r="OR209" s="28"/>
      <c r="OS209" s="28"/>
      <c r="OT209" s="28"/>
      <c r="OU209" s="28"/>
      <c r="OV209" s="28"/>
      <c r="OW209" s="28"/>
      <c r="OX209" s="28"/>
      <c r="OY209" s="28"/>
      <c r="OZ209" s="28"/>
      <c r="PA209" s="28"/>
      <c r="PB209" s="28"/>
      <c r="PC209" s="28"/>
      <c r="PD209" s="28"/>
      <c r="PE209" s="28"/>
      <c r="PF209" s="28"/>
      <c r="PG209" s="28"/>
      <c r="PH209" s="28"/>
      <c r="PI209" s="28"/>
      <c r="PJ209" s="28"/>
      <c r="PK209" s="28"/>
      <c r="PL209" s="28"/>
      <c r="PM209" s="28"/>
      <c r="PN209" s="28"/>
      <c r="PO209" s="28"/>
      <c r="PP209" s="28"/>
      <c r="PQ209" s="28"/>
      <c r="PR209" s="28"/>
      <c r="PS209" s="28"/>
      <c r="PT209" s="28"/>
      <c r="PU209" s="28"/>
      <c r="PV209" s="28"/>
      <c r="PW209" s="28"/>
      <c r="PX209" s="28"/>
      <c r="PY209" s="28"/>
      <c r="PZ209" s="28"/>
      <c r="QA209" s="28"/>
      <c r="QB209" s="28"/>
      <c r="QC209" s="28"/>
      <c r="QD209" s="28"/>
      <c r="QE209" s="28"/>
      <c r="QF209" s="28"/>
      <c r="QG209" s="28"/>
      <c r="QH209" s="28"/>
      <c r="QI209" s="28"/>
      <c r="QJ209" s="28"/>
      <c r="QK209" s="28"/>
      <c r="QL209" s="28"/>
      <c r="QM209" s="28"/>
      <c r="QN209" s="28"/>
      <c r="QO209" s="28"/>
      <c r="QP209" s="28"/>
      <c r="QQ209" s="28"/>
      <c r="QR209" s="28"/>
      <c r="QS209" s="28"/>
      <c r="QT209" s="28"/>
      <c r="QU209" s="28"/>
      <c r="QV209" s="28"/>
      <c r="QW209" s="28"/>
      <c r="QX209" s="28"/>
      <c r="QY209" s="28"/>
      <c r="QZ209" s="28"/>
      <c r="RA209" s="28"/>
      <c r="RB209" s="28"/>
      <c r="RC209" s="28"/>
      <c r="RD209" s="28"/>
      <c r="RE209" s="28"/>
      <c r="RF209" s="28"/>
      <c r="RG209" s="28"/>
      <c r="RH209" s="28"/>
      <c r="RI209" s="28"/>
      <c r="RJ209" s="28"/>
      <c r="RK209" s="28"/>
      <c r="RL209" s="28"/>
      <c r="RM209" s="28"/>
      <c r="RN209" s="28"/>
      <c r="RO209" s="28"/>
      <c r="RP209" s="28"/>
      <c r="RQ209" s="28"/>
      <c r="RR209" s="28"/>
      <c r="RS209" s="28"/>
      <c r="RT209" s="28"/>
      <c r="RU209" s="28"/>
      <c r="RV209" s="28"/>
      <c r="RW209" s="28"/>
      <c r="RX209" s="28"/>
      <c r="RY209" s="28"/>
      <c r="RZ209" s="28"/>
      <c r="SA209" s="28"/>
      <c r="SB209" s="28"/>
      <c r="SC209" s="28"/>
      <c r="SD209" s="28"/>
      <c r="SE209" s="28"/>
      <c r="SF209" s="28"/>
      <c r="SG209" s="28"/>
      <c r="SH209" s="28"/>
      <c r="SI209" s="28"/>
      <c r="SJ209" s="28"/>
      <c r="SK209" s="28"/>
      <c r="SL209" s="28"/>
      <c r="SM209" s="28"/>
      <c r="SN209" s="28"/>
      <c r="SO209" s="28"/>
      <c r="SP209" s="28"/>
      <c r="SQ209" s="28"/>
      <c r="SR209" s="28"/>
      <c r="SS209" s="28"/>
      <c r="ST209" s="28"/>
      <c r="SU209" s="28"/>
      <c r="SV209" s="28"/>
      <c r="SW209" s="28"/>
      <c r="SX209" s="28"/>
      <c r="SY209" s="28"/>
      <c r="SZ209" s="28"/>
      <c r="TA209" s="28"/>
      <c r="TB209" s="28"/>
      <c r="TC209" s="28"/>
      <c r="TD209" s="28"/>
      <c r="TE209" s="28"/>
      <c r="TF209" s="28"/>
      <c r="TG209" s="28"/>
      <c r="TH209" s="28"/>
      <c r="TI209" s="28"/>
      <c r="TJ209" s="28"/>
      <c r="TK209" s="28"/>
      <c r="TL209" s="28"/>
      <c r="TM209" s="28"/>
      <c r="TN209" s="28"/>
      <c r="TO209" s="28"/>
      <c r="TP209" s="28"/>
      <c r="TQ209" s="28"/>
      <c r="TR209" s="28"/>
      <c r="TS209" s="28"/>
      <c r="TT209" s="28"/>
      <c r="TU209" s="28"/>
      <c r="TV209" s="28"/>
      <c r="TW209" s="28"/>
      <c r="TX209" s="28"/>
      <c r="TY209" s="28"/>
      <c r="TZ209" s="28"/>
      <c r="UA209" s="28"/>
      <c r="UB209" s="28"/>
      <c r="UC209" s="28"/>
      <c r="UD209" s="28"/>
      <c r="UE209" s="28"/>
      <c r="UF209" s="28"/>
      <c r="UG209" s="28"/>
      <c r="UH209" s="28"/>
      <c r="UI209" s="28"/>
      <c r="UJ209" s="28"/>
      <c r="UK209" s="28"/>
      <c r="UL209" s="28"/>
      <c r="UM209" s="28"/>
      <c r="UN209" s="28"/>
      <c r="UO209" s="28"/>
      <c r="UP209" s="28"/>
      <c r="UQ209" s="28"/>
      <c r="UR209" s="28"/>
      <c r="US209" s="28"/>
      <c r="UT209" s="28"/>
      <c r="UU209" s="28"/>
      <c r="UV209" s="28"/>
      <c r="UW209" s="28"/>
      <c r="UX209" s="28"/>
      <c r="UY209" s="28"/>
      <c r="UZ209" s="28"/>
      <c r="VA209" s="28"/>
      <c r="VB209" s="28"/>
      <c r="VC209" s="28"/>
      <c r="VD209" s="28"/>
      <c r="VE209" s="28"/>
      <c r="VF209" s="28"/>
      <c r="VG209" s="28"/>
      <c r="VH209" s="28"/>
      <c r="VI209" s="28"/>
      <c r="VJ209" s="28"/>
      <c r="VK209" s="28"/>
      <c r="VL209" s="28"/>
      <c r="VM209" s="28"/>
      <c r="VN209" s="28"/>
      <c r="VO209" s="28"/>
      <c r="VP209" s="28"/>
      <c r="VQ209" s="28"/>
      <c r="VR209" s="28"/>
      <c r="VS209" s="28"/>
      <c r="VT209" s="28"/>
      <c r="VU209" s="28"/>
      <c r="VV209" s="28"/>
      <c r="VW209" s="28"/>
      <c r="VX209" s="28"/>
      <c r="VY209" s="28"/>
      <c r="VZ209" s="28"/>
      <c r="WA209" s="28"/>
      <c r="WB209" s="28"/>
      <c r="WC209" s="28"/>
      <c r="WD209" s="28"/>
      <c r="WE209" s="28"/>
      <c r="WF209" s="28"/>
      <c r="WG209" s="28"/>
      <c r="WH209" s="28"/>
      <c r="WI209" s="28"/>
      <c r="WJ209" s="28"/>
      <c r="WK209" s="28"/>
      <c r="WL209" s="28"/>
      <c r="WM209" s="28"/>
      <c r="WN209" s="28"/>
      <c r="WO209" s="28"/>
      <c r="WP209" s="28"/>
      <c r="WQ209" s="28"/>
      <c r="WR209" s="28"/>
      <c r="WS209" s="28"/>
      <c r="WT209" s="28"/>
      <c r="WU209" s="28"/>
      <c r="WV209" s="28"/>
      <c r="WW209" s="28"/>
      <c r="WX209" s="28"/>
      <c r="WY209" s="28"/>
      <c r="WZ209" s="28"/>
      <c r="XA209" s="28"/>
      <c r="XB209" s="28"/>
      <c r="XC209" s="28"/>
      <c r="XD209" s="28"/>
      <c r="XE209" s="28"/>
      <c r="XF209" s="28"/>
      <c r="XG209" s="28"/>
      <c r="XH209" s="28"/>
      <c r="XI209" s="28"/>
      <c r="XJ209" s="28"/>
      <c r="XK209" s="28"/>
      <c r="XL209" s="28"/>
      <c r="XM209" s="28"/>
      <c r="XN209" s="28"/>
      <c r="XO209" s="28"/>
      <c r="XP209" s="28"/>
      <c r="XQ209" s="28"/>
      <c r="XR209" s="28"/>
      <c r="XS209" s="28"/>
      <c r="XT209" s="28"/>
      <c r="XU209" s="28"/>
      <c r="XV209" s="28"/>
      <c r="XW209" s="28"/>
      <c r="XX209" s="28"/>
      <c r="XY209" s="28"/>
      <c r="XZ209" s="28"/>
      <c r="YA209" s="28"/>
      <c r="YB209" s="28"/>
      <c r="YC209" s="28"/>
      <c r="YD209" s="28"/>
      <c r="YE209" s="28"/>
      <c r="YF209" s="28"/>
      <c r="YG209" s="28"/>
      <c r="YH209" s="28"/>
      <c r="YI209" s="28"/>
      <c r="YJ209" s="28"/>
      <c r="YK209" s="28"/>
      <c r="YL209" s="28"/>
      <c r="YM209" s="28"/>
      <c r="YN209" s="28"/>
      <c r="YO209" s="28"/>
      <c r="YP209" s="28"/>
      <c r="YQ209" s="28"/>
      <c r="YR209" s="28"/>
      <c r="YS209" s="28"/>
      <c r="YT209" s="28"/>
      <c r="YU209" s="28"/>
      <c r="YV209" s="28"/>
      <c r="YW209" s="28"/>
      <c r="YX209" s="28"/>
      <c r="YY209" s="28"/>
      <c r="YZ209" s="28"/>
      <c r="ZA209" s="28"/>
      <c r="ZB209" s="28"/>
      <c r="ZC209" s="28"/>
      <c r="ZD209" s="28"/>
      <c r="ZE209" s="28"/>
      <c r="ZF209" s="28"/>
      <c r="ZG209" s="28"/>
      <c r="ZH209" s="28"/>
      <c r="ZI209" s="28"/>
      <c r="ZJ209" s="28"/>
      <c r="ZK209" s="28"/>
      <c r="ZL209" s="28"/>
      <c r="ZM209" s="28"/>
      <c r="ZN209" s="28"/>
      <c r="ZO209" s="28"/>
      <c r="ZP209" s="28"/>
      <c r="ZQ209" s="28"/>
      <c r="ZR209" s="28"/>
      <c r="ZS209" s="28"/>
      <c r="ZT209" s="28"/>
      <c r="ZU209" s="28"/>
      <c r="ZV209" s="28"/>
      <c r="ZW209" s="28"/>
      <c r="ZX209" s="28"/>
      <c r="ZY209" s="28"/>
      <c r="ZZ209" s="28"/>
      <c r="AAA209" s="28"/>
      <c r="AAB209" s="28"/>
      <c r="AAC209" s="28"/>
      <c r="AAD209" s="28"/>
      <c r="AAE209" s="28"/>
      <c r="AAF209" s="28"/>
      <c r="AAG209" s="28"/>
      <c r="AAH209" s="28"/>
      <c r="AAI209" s="28"/>
      <c r="AAJ209" s="28"/>
      <c r="AAK209" s="28"/>
      <c r="AAL209" s="28"/>
      <c r="AAM209" s="28"/>
      <c r="AAN209" s="28"/>
      <c r="AAO209" s="28"/>
      <c r="AAP209" s="28"/>
      <c r="AAQ209" s="28"/>
      <c r="AAR209" s="28"/>
      <c r="AAS209" s="28"/>
      <c r="AAT209" s="28"/>
      <c r="AAU209" s="28"/>
      <c r="AAV209" s="28"/>
      <c r="AAW209" s="28"/>
      <c r="AAX209" s="28"/>
      <c r="AAY209" s="28"/>
      <c r="AAZ209" s="28"/>
      <c r="ABA209" s="28"/>
      <c r="ABB209" s="28"/>
      <c r="ABC209" s="28"/>
      <c r="ABD209" s="28"/>
      <c r="ABE209" s="28"/>
      <c r="ABF209" s="28"/>
      <c r="ABG209" s="28"/>
      <c r="ABH209" s="28"/>
      <c r="ABI209" s="28"/>
      <c r="ABJ209" s="28"/>
      <c r="ABK209" s="28"/>
      <c r="ABL209" s="28"/>
      <c r="ABM209" s="28"/>
      <c r="ABN209" s="28"/>
      <c r="ABO209" s="28"/>
      <c r="ABP209" s="28"/>
      <c r="ABQ209" s="28"/>
      <c r="ABR209" s="28"/>
      <c r="ABS209" s="28"/>
      <c r="ABT209" s="28"/>
      <c r="ABU209" s="28"/>
      <c r="ABV209" s="28"/>
      <c r="ABW209" s="28"/>
      <c r="ABX209" s="28"/>
      <c r="ABY209" s="28"/>
      <c r="ABZ209" s="28"/>
      <c r="ACA209" s="28"/>
      <c r="ACB209" s="28"/>
      <c r="ACC209" s="28"/>
      <c r="ACD209" s="28"/>
      <c r="ACE209" s="28"/>
      <c r="ACF209" s="28"/>
      <c r="ACG209" s="28"/>
      <c r="ACH209" s="28"/>
      <c r="ACI209" s="28"/>
      <c r="ACJ209" s="28"/>
      <c r="ACK209" s="28"/>
      <c r="ACL209" s="28"/>
      <c r="ACM209" s="28"/>
      <c r="ACN209" s="28"/>
      <c r="ACO209" s="28"/>
      <c r="ACP209" s="28"/>
      <c r="ACQ209" s="28"/>
      <c r="ACR209" s="28"/>
      <c r="ACS209" s="28"/>
      <c r="ACT209" s="28"/>
      <c r="ACU209" s="28"/>
      <c r="ACV209" s="28"/>
      <c r="ACW209" s="28"/>
      <c r="ACX209" s="28"/>
      <c r="ACY209" s="28"/>
      <c r="ACZ209" s="28"/>
      <c r="ADA209" s="28"/>
      <c r="ADB209" s="28"/>
      <c r="ADC209" s="28"/>
      <c r="ADD209" s="28"/>
      <c r="ADE209" s="28"/>
      <c r="ADF209" s="28"/>
      <c r="ADG209" s="28"/>
      <c r="ADH209" s="28"/>
      <c r="ADI209" s="28"/>
      <c r="ADJ209" s="28"/>
      <c r="ADK209" s="28"/>
      <c r="ADL209" s="28"/>
      <c r="ADM209" s="28"/>
      <c r="ADN209" s="28"/>
      <c r="ADO209" s="28"/>
      <c r="ADP209" s="28"/>
      <c r="ADQ209" s="28"/>
      <c r="ADR209" s="28"/>
      <c r="ADS209" s="28"/>
      <c r="ADT209" s="28"/>
      <c r="ADU209" s="28"/>
      <c r="ADV209" s="28"/>
      <c r="ADW209" s="28"/>
      <c r="ADX209" s="28"/>
      <c r="ADY209" s="28"/>
      <c r="ADZ209" s="28"/>
      <c r="AEA209" s="28"/>
      <c r="AEB209" s="28"/>
      <c r="AEC209" s="28"/>
      <c r="AED209" s="28"/>
      <c r="AEE209" s="28"/>
      <c r="AEF209" s="28"/>
      <c r="AEG209" s="28"/>
      <c r="AEH209" s="28"/>
      <c r="AEI209" s="28"/>
      <c r="AEJ209" s="28"/>
      <c r="AEK209" s="28"/>
      <c r="AEL209" s="28"/>
      <c r="AEM209" s="28"/>
      <c r="AEN209" s="28"/>
      <c r="AEO209" s="28"/>
      <c r="AEP209" s="28"/>
      <c r="AEQ209" s="28"/>
      <c r="AER209" s="28"/>
      <c r="AES209" s="28"/>
      <c r="AET209" s="28"/>
      <c r="AEU209" s="28"/>
      <c r="AEV209" s="28"/>
      <c r="AEW209" s="28"/>
      <c r="AEX209" s="28"/>
      <c r="AEY209" s="28"/>
      <c r="AEZ209" s="28"/>
      <c r="AFA209" s="28"/>
      <c r="AFB209" s="28"/>
      <c r="AFC209" s="28"/>
      <c r="AFD209" s="28"/>
      <c r="AFE209" s="28"/>
      <c r="AFF209" s="28"/>
      <c r="AFG209" s="28"/>
      <c r="AFH209" s="28"/>
      <c r="AFI209" s="28"/>
      <c r="AFJ209" s="28"/>
      <c r="AFK209" s="28"/>
      <c r="AFL209" s="28"/>
      <c r="AFM209" s="28"/>
      <c r="AFN209" s="28"/>
      <c r="AFO209" s="28"/>
      <c r="AFP209" s="28"/>
      <c r="AFQ209" s="28"/>
      <c r="AFR209" s="28"/>
      <c r="AFS209" s="28"/>
      <c r="AFT209" s="28"/>
      <c r="AFU209" s="28"/>
      <c r="AFV209" s="28"/>
      <c r="AFW209" s="28"/>
      <c r="AFX209" s="28"/>
      <c r="AFY209" s="28"/>
      <c r="AFZ209" s="28"/>
      <c r="AGA209" s="28"/>
      <c r="AGB209" s="28"/>
      <c r="AGC209" s="28"/>
      <c r="AGD209" s="28"/>
      <c r="AGE209" s="28"/>
      <c r="AGF209" s="28"/>
      <c r="AGG209" s="28"/>
      <c r="AGH209" s="28"/>
      <c r="AGI209" s="28"/>
      <c r="AGJ209" s="28"/>
      <c r="AGK209" s="28"/>
      <c r="AGL209" s="28"/>
      <c r="AGM209" s="28"/>
      <c r="AGN209" s="28"/>
      <c r="AGO209" s="28"/>
      <c r="AGP209" s="28"/>
      <c r="AGQ209" s="28"/>
      <c r="AGR209" s="28"/>
      <c r="AGS209" s="28"/>
      <c r="AGT209" s="28"/>
      <c r="AGU209" s="28"/>
      <c r="AGV209" s="28"/>
      <c r="AGW209" s="28"/>
      <c r="AGX209" s="28"/>
      <c r="AGY209" s="28"/>
      <c r="AGZ209" s="28"/>
      <c r="AHA209" s="28"/>
      <c r="AHB209" s="28"/>
      <c r="AHC209" s="28"/>
      <c r="AHD209" s="28"/>
      <c r="AHE209" s="28"/>
      <c r="AHF209" s="28"/>
      <c r="AHG209" s="28"/>
      <c r="AHH209" s="28"/>
      <c r="AHI209" s="28"/>
      <c r="AHJ209" s="28"/>
      <c r="AHK209" s="28"/>
      <c r="AHL209" s="28"/>
      <c r="AHM209" s="28"/>
      <c r="AHN209" s="28"/>
      <c r="AHO209" s="28"/>
      <c r="AHP209" s="28"/>
      <c r="AHQ209" s="28"/>
      <c r="AHR209" s="28"/>
      <c r="AHS209" s="28"/>
      <c r="AHT209" s="28"/>
      <c r="AHU209" s="28"/>
      <c r="AHV209" s="28"/>
      <c r="AHW209" s="28"/>
      <c r="AHX209" s="28"/>
      <c r="AHY209" s="28"/>
      <c r="AHZ209" s="28"/>
      <c r="AIA209" s="28"/>
      <c r="AIB209" s="28"/>
      <c r="AIC209" s="28"/>
      <c r="AID209" s="28"/>
      <c r="AIE209" s="28"/>
      <c r="AIF209" s="28"/>
      <c r="AIG209" s="28"/>
      <c r="AIH209" s="28"/>
      <c r="AII209" s="28"/>
      <c r="AIJ209" s="28"/>
      <c r="AIK209" s="28"/>
      <c r="AIL209" s="28"/>
      <c r="AIM209" s="28"/>
      <c r="AIN209" s="28"/>
      <c r="AIO209" s="28"/>
      <c r="AIP209" s="28"/>
      <c r="AIQ209" s="28"/>
      <c r="AIR209" s="28"/>
      <c r="AIS209" s="28"/>
      <c r="AIT209" s="28"/>
      <c r="AIU209" s="28"/>
      <c r="AIV209" s="28"/>
      <c r="AIW209" s="28"/>
      <c r="AIX209" s="28"/>
      <c r="AIY209" s="28"/>
      <c r="AIZ209" s="28"/>
      <c r="AJA209" s="28"/>
      <c r="AJB209" s="28"/>
      <c r="AJC209" s="28"/>
      <c r="AJD209" s="28"/>
      <c r="AJE209" s="28"/>
      <c r="AJF209" s="28"/>
      <c r="AJG209" s="28"/>
      <c r="AJH209" s="28"/>
      <c r="AJI209" s="28"/>
      <c r="AJJ209" s="28"/>
      <c r="AJK209" s="28"/>
      <c r="AJL209" s="28"/>
      <c r="AJM209" s="28"/>
      <c r="AJN209" s="28"/>
      <c r="AJO209" s="28"/>
      <c r="AJP209" s="28"/>
      <c r="AJQ209" s="28"/>
      <c r="AJR209" s="28"/>
      <c r="AJS209" s="28"/>
      <c r="AJT209" s="28"/>
      <c r="AJU209" s="28"/>
      <c r="AJV209" s="28"/>
      <c r="AJW209" s="28"/>
      <c r="AJX209" s="28"/>
      <c r="AJY209" s="28"/>
      <c r="AJZ209" s="28"/>
      <c r="AKA209" s="28"/>
      <c r="AKB209" s="28"/>
      <c r="AKC209" s="28"/>
      <c r="AKD209" s="28"/>
      <c r="AKE209" s="28"/>
      <c r="AKF209" s="28"/>
      <c r="AKG209" s="28"/>
      <c r="AKH209" s="28"/>
      <c r="AKI209" s="28"/>
      <c r="AKJ209" s="28"/>
      <c r="AKK209" s="28"/>
      <c r="AKL209" s="28"/>
      <c r="AKM209" s="28"/>
      <c r="AKN209" s="28"/>
      <c r="AKO209" s="28"/>
      <c r="AKP209" s="28"/>
      <c r="AKQ209" s="28"/>
      <c r="AKR209" s="28"/>
      <c r="AKS209" s="28"/>
      <c r="AKT209" s="28"/>
      <c r="AKU209" s="28"/>
      <c r="AKV209" s="28"/>
      <c r="AKW209" s="28"/>
      <c r="AKX209" s="28"/>
      <c r="AKY209" s="28"/>
      <c r="AKZ209" s="28"/>
      <c r="ALA209" s="28"/>
      <c r="ALB209" s="28"/>
      <c r="ALC209" s="28"/>
      <c r="ALD209" s="28"/>
      <c r="ALE209" s="28"/>
      <c r="ALF209" s="28"/>
      <c r="ALG209" s="28"/>
      <c r="ALH209" s="28"/>
      <c r="ALI209" s="28"/>
      <c r="ALJ209" s="28"/>
      <c r="ALK209" s="28"/>
      <c r="ALL209" s="28"/>
      <c r="ALM209" s="28"/>
      <c r="ALN209" s="28"/>
      <c r="ALO209" s="28"/>
      <c r="ALP209" s="28"/>
      <c r="ALQ209" s="28"/>
      <c r="ALR209" s="28"/>
      <c r="ALS209" s="28"/>
      <c r="ALT209" s="28"/>
      <c r="ALU209" s="28"/>
      <c r="ALV209" s="28"/>
      <c r="ALW209" s="28"/>
      <c r="ALX209" s="28"/>
      <c r="ALY209" s="28"/>
      <c r="ALZ209" s="28"/>
      <c r="AMA209" s="28"/>
      <c r="AMB209" s="28"/>
      <c r="AMC209" s="28"/>
      <c r="AMD209" s="28"/>
      <c r="AME209" s="28"/>
      <c r="AMF209" s="28"/>
      <c r="AMG209" s="28"/>
      <c r="AMH209" s="28"/>
      <c r="AMI209" s="28"/>
      <c r="AMJ209" s="28"/>
      <c r="AMK209" s="28"/>
      <c r="AML209" s="28"/>
      <c r="AMM209" s="28"/>
      <c r="AMN209" s="28"/>
      <c r="AMO209" s="28"/>
      <c r="AMP209" s="28"/>
      <c r="AMQ209" s="28"/>
      <c r="AMR209" s="28"/>
      <c r="AMS209" s="28"/>
      <c r="AMT209" s="28"/>
      <c r="AMU209" s="28"/>
      <c r="AMV209" s="28"/>
      <c r="AMW209" s="28"/>
      <c r="AMX209" s="28"/>
      <c r="AMY209" s="28"/>
      <c r="AMZ209" s="28"/>
      <c r="ANA209" s="28"/>
      <c r="ANB209" s="28"/>
      <c r="ANC209" s="28"/>
      <c r="AND209" s="28"/>
      <c r="ANE209" s="28"/>
      <c r="ANF209" s="28"/>
      <c r="ANG209" s="28"/>
      <c r="ANH209" s="28"/>
      <c r="ANI209" s="28"/>
      <c r="ANJ209" s="28"/>
      <c r="ANK209" s="28"/>
      <c r="ANL209" s="28"/>
      <c r="ANM209" s="28"/>
      <c r="ANN209" s="28"/>
      <c r="ANO209" s="28"/>
      <c r="ANP209" s="28"/>
      <c r="ANQ209" s="28"/>
      <c r="ANR209" s="28"/>
      <c r="ANS209" s="28"/>
      <c r="ANT209" s="28"/>
      <c r="ANU209" s="28"/>
      <c r="ANV209" s="28"/>
      <c r="ANW209" s="28"/>
      <c r="ANX209" s="28"/>
      <c r="ANY209" s="28"/>
      <c r="ANZ209" s="28"/>
      <c r="AOA209" s="28"/>
      <c r="AOB209" s="28"/>
      <c r="AOC209" s="28"/>
      <c r="AOD209" s="28"/>
      <c r="AOE209" s="28"/>
      <c r="AOF209" s="28"/>
      <c r="AOG209" s="28"/>
      <c r="AOH209" s="28"/>
      <c r="AOI209" s="28"/>
      <c r="AOJ209" s="28"/>
      <c r="AOK209" s="28"/>
      <c r="AOL209" s="28"/>
      <c r="AOM209" s="28"/>
      <c r="AON209" s="28"/>
      <c r="AOO209" s="28"/>
      <c r="AOP209" s="28"/>
      <c r="AOQ209" s="28"/>
      <c r="AOR209" s="28"/>
      <c r="AOS209" s="28"/>
      <c r="AOT209" s="28"/>
      <c r="AOU209" s="28"/>
      <c r="AOV209" s="28"/>
      <c r="AOW209" s="28"/>
      <c r="AOX209" s="28"/>
      <c r="AOY209" s="28"/>
      <c r="AOZ209" s="28"/>
      <c r="APA209" s="28"/>
      <c r="APB209" s="28"/>
      <c r="APC209" s="28"/>
      <c r="APD209" s="28"/>
      <c r="APE209" s="28"/>
      <c r="APF209" s="28"/>
      <c r="APG209" s="28"/>
      <c r="APH209" s="28"/>
      <c r="API209" s="28"/>
      <c r="APJ209" s="28"/>
      <c r="APK209" s="28"/>
      <c r="APL209" s="28"/>
      <c r="APM209" s="28"/>
      <c r="APN209" s="28"/>
      <c r="APO209" s="28"/>
      <c r="APP209" s="28"/>
      <c r="APQ209" s="28"/>
      <c r="APR209" s="28"/>
      <c r="APS209" s="28"/>
      <c r="APT209" s="28"/>
      <c r="APU209" s="28"/>
      <c r="APV209" s="28"/>
      <c r="APW209" s="28"/>
      <c r="APX209" s="28"/>
      <c r="APY209" s="28"/>
      <c r="APZ209" s="28"/>
      <c r="AQA209" s="28"/>
      <c r="AQB209" s="28"/>
      <c r="AQC209" s="28"/>
      <c r="AQD209" s="28"/>
      <c r="AQE209" s="28"/>
      <c r="AQF209" s="28"/>
      <c r="AQG209" s="28"/>
      <c r="AQH209" s="28"/>
      <c r="AQI209" s="28"/>
      <c r="AQJ209" s="28"/>
      <c r="AQK209" s="28"/>
      <c r="AQL209" s="28"/>
      <c r="AQM209" s="28"/>
      <c r="AQN209" s="28"/>
      <c r="AQO209" s="28"/>
      <c r="AQP209" s="28"/>
      <c r="AQQ209" s="28"/>
      <c r="AQR209" s="28"/>
      <c r="AQS209" s="28"/>
      <c r="AQT209" s="28"/>
      <c r="AQU209" s="28"/>
      <c r="AQV209" s="28"/>
      <c r="AQW209" s="28"/>
      <c r="AQX209" s="28"/>
      <c r="AQY209" s="28"/>
      <c r="AQZ209" s="28"/>
      <c r="ARA209" s="28"/>
      <c r="ARB209" s="28"/>
      <c r="ARC209" s="28"/>
      <c r="ARD209" s="28"/>
      <c r="ARE209" s="28"/>
      <c r="ARF209" s="28"/>
      <c r="ARG209" s="28"/>
      <c r="ARH209" s="28"/>
      <c r="ARI209" s="28"/>
      <c r="ARJ209" s="28"/>
      <c r="ARK209" s="28"/>
      <c r="ARL209" s="28"/>
      <c r="ARM209" s="28"/>
      <c r="ARN209" s="28"/>
      <c r="ARO209" s="28"/>
      <c r="ARP209" s="28"/>
      <c r="ARQ209" s="28"/>
      <c r="ARR209" s="28"/>
      <c r="ARS209" s="28"/>
      <c r="ART209" s="28"/>
      <c r="ARU209" s="28"/>
      <c r="ARV209" s="28"/>
      <c r="ARW209" s="28"/>
      <c r="ARX209" s="28"/>
      <c r="ARY209" s="28"/>
      <c r="ARZ209" s="28"/>
      <c r="ASA209" s="28"/>
      <c r="ASB209" s="28"/>
      <c r="ASC209" s="28"/>
      <c r="ASD209" s="28"/>
      <c r="ASE209" s="28"/>
      <c r="ASF209" s="28"/>
      <c r="ASG209" s="28"/>
      <c r="ASH209" s="28"/>
      <c r="ASI209" s="28"/>
      <c r="ASJ209" s="28"/>
      <c r="ASK209" s="28"/>
      <c r="ASL209" s="28"/>
      <c r="ASM209" s="28"/>
      <c r="ASN209" s="28"/>
      <c r="ASO209" s="28"/>
      <c r="ASP209" s="28"/>
      <c r="ASQ209" s="28"/>
      <c r="ASR209" s="28"/>
      <c r="ASS209" s="28"/>
      <c r="AST209" s="28"/>
      <c r="ASU209" s="28"/>
      <c r="ASV209" s="28"/>
      <c r="ASW209" s="28"/>
      <c r="ASX209" s="28"/>
      <c r="ASY209" s="28"/>
      <c r="ASZ209" s="28"/>
      <c r="ATA209" s="28"/>
      <c r="ATB209" s="28"/>
      <c r="ATC209" s="28"/>
      <c r="ATD209" s="28"/>
      <c r="ATE209" s="28"/>
      <c r="ATF209" s="28"/>
      <c r="ATG209" s="28"/>
      <c r="ATH209" s="28"/>
      <c r="ATI209" s="28"/>
      <c r="ATJ209" s="28"/>
      <c r="ATK209" s="28"/>
      <c r="ATL209" s="28"/>
      <c r="ATM209" s="28"/>
      <c r="ATN209" s="28"/>
      <c r="ATO209" s="28"/>
      <c r="ATP209" s="28"/>
      <c r="ATQ209" s="28"/>
      <c r="ATR209" s="28"/>
      <c r="ATS209" s="28"/>
      <c r="ATT209" s="28"/>
      <c r="ATU209" s="28"/>
      <c r="ATV209" s="28"/>
      <c r="ATW209" s="28"/>
      <c r="ATX209" s="28"/>
      <c r="ATY209" s="28"/>
      <c r="ATZ209" s="28"/>
      <c r="AUA209" s="28"/>
      <c r="AUB209" s="28"/>
      <c r="AUC209" s="28"/>
      <c r="AUD209" s="28"/>
      <c r="AUE209" s="28"/>
      <c r="AUF209" s="28"/>
      <c r="AUG209" s="28"/>
      <c r="AUH209" s="28"/>
      <c r="AUI209" s="28"/>
      <c r="AUJ209" s="28"/>
      <c r="AUK209" s="28"/>
      <c r="AUL209" s="28"/>
      <c r="AUM209" s="28"/>
      <c r="AUN209" s="28"/>
      <c r="AUO209" s="28"/>
      <c r="AUP209" s="28"/>
      <c r="AUQ209" s="28"/>
      <c r="AUR209" s="28"/>
      <c r="AUS209" s="28"/>
      <c r="AUT209" s="28"/>
      <c r="AUU209" s="28"/>
      <c r="AUV209" s="28"/>
      <c r="AUW209" s="28"/>
      <c r="AUX209" s="28"/>
      <c r="AUY209" s="28"/>
      <c r="AUZ209" s="28"/>
      <c r="AVA209" s="28"/>
      <c r="AVB209" s="28"/>
      <c r="AVC209" s="28"/>
      <c r="AVD209" s="28"/>
      <c r="AVE209" s="28"/>
      <c r="AVF209" s="28"/>
      <c r="AVG209" s="28"/>
      <c r="AVH209" s="28"/>
      <c r="AVI209" s="28"/>
      <c r="AVJ209" s="28"/>
      <c r="AVK209" s="28"/>
      <c r="AVL209" s="28"/>
      <c r="AVM209" s="28"/>
      <c r="AVN209" s="28"/>
      <c r="AVO209" s="28"/>
      <c r="AVP209" s="28"/>
      <c r="AVQ209" s="28"/>
      <c r="AVR209" s="28"/>
      <c r="AVS209" s="28"/>
      <c r="AVT209" s="28"/>
      <c r="AVU209" s="28"/>
      <c r="AVV209" s="28"/>
      <c r="AVW209" s="28"/>
      <c r="AVX209" s="28"/>
      <c r="AVY209" s="28"/>
      <c r="AVZ209" s="28"/>
      <c r="AWA209" s="28"/>
      <c r="AWB209" s="28"/>
      <c r="AWC209" s="28"/>
      <c r="AWD209" s="28"/>
      <c r="AWE209" s="28"/>
      <c r="AWF209" s="28"/>
      <c r="AWG209" s="28"/>
      <c r="AWH209" s="28"/>
      <c r="AWI209" s="28"/>
      <c r="AWJ209" s="28"/>
      <c r="AWK209" s="28"/>
      <c r="AWL209" s="28"/>
      <c r="AWM209" s="28"/>
      <c r="AWN209" s="28"/>
      <c r="AWO209" s="28"/>
      <c r="AWP209" s="28"/>
      <c r="AWQ209" s="28"/>
      <c r="AWR209" s="28"/>
      <c r="AWS209" s="28"/>
      <c r="AWT209" s="28"/>
      <c r="AWU209" s="28"/>
      <c r="AWV209" s="28"/>
      <c r="AWW209" s="28"/>
      <c r="AWX209" s="28"/>
      <c r="AWY209" s="28"/>
      <c r="AWZ209" s="28"/>
      <c r="AXA209" s="28"/>
      <c r="AXB209" s="28"/>
      <c r="AXC209" s="28"/>
      <c r="AXD209" s="28"/>
      <c r="AXE209" s="28"/>
      <c r="AXF209" s="28"/>
      <c r="AXG209" s="28"/>
      <c r="AXH209" s="28"/>
      <c r="AXI209" s="28"/>
      <c r="AXJ209" s="28"/>
      <c r="AXK209" s="28"/>
      <c r="AXL209" s="28"/>
      <c r="AXM209" s="28"/>
      <c r="AXN209" s="28"/>
      <c r="AXO209" s="28"/>
      <c r="AXP209" s="28"/>
      <c r="AXQ209" s="28"/>
      <c r="AXR209" s="28"/>
      <c r="AXS209" s="28"/>
      <c r="AXT209" s="28"/>
      <c r="AXU209" s="28"/>
      <c r="AXV209" s="28"/>
      <c r="AXW209" s="28"/>
      <c r="AXX209" s="28"/>
      <c r="AXY209" s="28"/>
      <c r="AXZ209" s="28"/>
      <c r="AYA209" s="28"/>
      <c r="AYB209" s="28"/>
      <c r="AYC209" s="28"/>
      <c r="AYD209" s="28"/>
      <c r="AYE209" s="28"/>
      <c r="AYF209" s="28"/>
      <c r="AYG209" s="28"/>
      <c r="AYH209" s="28"/>
      <c r="AYI209" s="28"/>
      <c r="AYJ209" s="28"/>
      <c r="AYK209" s="28"/>
      <c r="AYL209" s="28"/>
      <c r="AYM209" s="28"/>
      <c r="AYN209" s="28"/>
      <c r="AYO209" s="28"/>
      <c r="AYP209" s="28"/>
      <c r="AYQ209" s="28"/>
      <c r="AYR209" s="28"/>
      <c r="AYS209" s="28"/>
      <c r="AYT209" s="28"/>
      <c r="AYU209" s="28"/>
      <c r="AYV209" s="28"/>
      <c r="AYW209" s="28"/>
      <c r="AYX209" s="28"/>
      <c r="AYY209" s="28"/>
      <c r="AYZ209" s="28"/>
      <c r="AZA209" s="28"/>
      <c r="AZB209" s="28"/>
      <c r="AZC209" s="28"/>
      <c r="AZD209" s="28"/>
      <c r="AZE209" s="28"/>
      <c r="AZF209" s="28"/>
      <c r="AZG209" s="28"/>
      <c r="AZH209" s="28"/>
      <c r="AZI209" s="28"/>
      <c r="AZJ209" s="28"/>
      <c r="AZK209" s="28"/>
      <c r="AZL209" s="28"/>
      <c r="AZM209" s="28"/>
      <c r="AZN209" s="28"/>
      <c r="AZO209" s="28"/>
      <c r="AZP209" s="28"/>
      <c r="AZQ209" s="28"/>
      <c r="AZR209" s="28"/>
      <c r="AZS209" s="28"/>
      <c r="AZT209" s="28"/>
      <c r="AZU209" s="28"/>
      <c r="AZV209" s="28"/>
      <c r="AZW209" s="28"/>
      <c r="AZX209" s="28"/>
      <c r="AZY209" s="28"/>
      <c r="AZZ209" s="28"/>
      <c r="BAA209" s="28"/>
      <c r="BAB209" s="28"/>
      <c r="BAC209" s="28"/>
      <c r="BAD209" s="28"/>
      <c r="BAE209" s="28"/>
      <c r="BAF209" s="28"/>
      <c r="BAG209" s="28"/>
      <c r="BAH209" s="28"/>
      <c r="BAI209" s="28"/>
      <c r="BAJ209" s="28"/>
      <c r="BAK209" s="28"/>
      <c r="BAL209" s="28"/>
      <c r="BAM209" s="28"/>
      <c r="BAN209" s="28"/>
      <c r="BAO209" s="28"/>
      <c r="BAP209" s="28"/>
      <c r="BAQ209" s="28"/>
      <c r="BAR209" s="28"/>
      <c r="BAS209" s="28"/>
      <c r="BAT209" s="28"/>
      <c r="BAU209" s="28"/>
      <c r="BAV209" s="28"/>
      <c r="BAW209" s="28"/>
      <c r="BAX209" s="28"/>
      <c r="BAY209" s="28"/>
      <c r="BAZ209" s="28"/>
      <c r="BBA209" s="28"/>
      <c r="BBB209" s="28"/>
      <c r="BBC209" s="28"/>
      <c r="BBD209" s="28"/>
      <c r="BBE209" s="28"/>
      <c r="BBF209" s="28"/>
      <c r="BBG209" s="28"/>
      <c r="BBH209" s="28"/>
      <c r="BBI209" s="28"/>
      <c r="BBJ209" s="28"/>
      <c r="BBK209" s="28"/>
      <c r="BBL209" s="28"/>
      <c r="BBM209" s="28"/>
      <c r="BBN209" s="28"/>
      <c r="BBO209" s="28"/>
      <c r="BBP209" s="28"/>
      <c r="BBQ209" s="28"/>
      <c r="BBR209" s="28"/>
      <c r="BBS209" s="28"/>
      <c r="BBT209" s="28"/>
      <c r="BBU209" s="28"/>
      <c r="BBV209" s="28"/>
      <c r="BBW209" s="28"/>
      <c r="BBX209" s="28"/>
      <c r="BBY209" s="28"/>
      <c r="BBZ209" s="28"/>
      <c r="BCA209" s="28"/>
      <c r="BCB209" s="28"/>
      <c r="BCC209" s="28"/>
      <c r="BCD209" s="28"/>
      <c r="BCE209" s="28"/>
      <c r="BCF209" s="28"/>
      <c r="BCG209" s="28"/>
      <c r="BCH209" s="28"/>
      <c r="BCI209" s="28"/>
      <c r="BCJ209" s="28"/>
      <c r="BCK209" s="28"/>
      <c r="BCL209" s="28"/>
      <c r="BCM209" s="28"/>
      <c r="BCN209" s="28"/>
      <c r="BCO209" s="28"/>
      <c r="BCP209" s="28"/>
      <c r="BCQ209" s="28"/>
      <c r="BCR209" s="28"/>
      <c r="BCS209" s="28"/>
      <c r="BCT209" s="28"/>
      <c r="BCU209" s="28"/>
      <c r="BCV209" s="28"/>
      <c r="BCW209" s="28"/>
      <c r="BCX209" s="28"/>
      <c r="BCY209" s="28"/>
      <c r="BCZ209" s="28"/>
      <c r="BDA209" s="28"/>
      <c r="BDB209" s="28"/>
      <c r="BDC209" s="28"/>
      <c r="BDD209" s="28"/>
      <c r="BDE209" s="28"/>
      <c r="BDF209" s="28"/>
      <c r="BDG209" s="28"/>
      <c r="BDH209" s="28"/>
      <c r="BDI209" s="28"/>
      <c r="BDJ209" s="28"/>
      <c r="BDK209" s="28"/>
      <c r="BDL209" s="28"/>
      <c r="BDM209" s="28"/>
      <c r="BDN209" s="28"/>
      <c r="BDO209" s="28"/>
      <c r="BDP209" s="28"/>
      <c r="BDQ209" s="28"/>
      <c r="BDR209" s="28"/>
      <c r="BDS209" s="28"/>
      <c r="BDT209" s="28"/>
      <c r="BDU209" s="28"/>
      <c r="BDV209" s="28"/>
      <c r="BDW209" s="28"/>
      <c r="BDX209" s="28"/>
      <c r="BDY209" s="28"/>
      <c r="BDZ209" s="28"/>
      <c r="BEA209" s="28"/>
      <c r="BEB209" s="28"/>
      <c r="BEC209" s="28"/>
      <c r="BED209" s="28"/>
      <c r="BEE209" s="28"/>
      <c r="BEF209" s="28"/>
      <c r="BEG209" s="28"/>
      <c r="BEH209" s="28"/>
      <c r="BEI209" s="28"/>
      <c r="BEJ209" s="28"/>
      <c r="BEK209" s="28"/>
      <c r="BEL209" s="28"/>
      <c r="BEM209" s="28"/>
      <c r="BEN209" s="28"/>
      <c r="BEO209" s="28"/>
      <c r="BEP209" s="28"/>
      <c r="BEQ209" s="28"/>
      <c r="BER209" s="28"/>
      <c r="BES209" s="28"/>
      <c r="BET209" s="28"/>
      <c r="BEU209" s="28"/>
      <c r="BEV209" s="28"/>
      <c r="BEW209" s="28"/>
      <c r="BEX209" s="28"/>
      <c r="BEY209" s="28"/>
      <c r="BEZ209" s="28"/>
      <c r="BFA209" s="28"/>
      <c r="BFB209" s="28"/>
      <c r="BFC209" s="28"/>
      <c r="BFD209" s="28"/>
      <c r="BFE209" s="28"/>
      <c r="BFF209" s="28"/>
      <c r="BFG209" s="28"/>
      <c r="BFH209" s="28"/>
      <c r="BFI209" s="28"/>
      <c r="BFJ209" s="28"/>
      <c r="BFK209" s="28"/>
      <c r="BFL209" s="28"/>
      <c r="BFM209" s="28"/>
      <c r="BFN209" s="28"/>
      <c r="BFO209" s="28"/>
      <c r="BFP209" s="28"/>
      <c r="BFQ209" s="28"/>
      <c r="BFR209" s="28"/>
      <c r="BFS209" s="28"/>
      <c r="BFT209" s="28"/>
      <c r="BFU209" s="28"/>
      <c r="BFV209" s="28"/>
      <c r="BFW209" s="28"/>
      <c r="BFX209" s="28"/>
      <c r="BFY209" s="28"/>
      <c r="BFZ209" s="28"/>
      <c r="BGA209" s="28"/>
      <c r="BGB209" s="28"/>
      <c r="BGC209" s="28"/>
      <c r="BGD209" s="28"/>
      <c r="BGE209" s="28"/>
      <c r="BGF209" s="28"/>
      <c r="BGG209" s="28"/>
      <c r="BGH209" s="28"/>
      <c r="BGI209" s="28"/>
      <c r="BGJ209" s="28"/>
      <c r="BGK209" s="28"/>
      <c r="BGL209" s="28"/>
      <c r="BGM209" s="28"/>
      <c r="BGN209" s="28"/>
      <c r="BGO209" s="28"/>
      <c r="BGP209" s="28"/>
      <c r="BGQ209" s="28"/>
      <c r="BGR209" s="28"/>
      <c r="BGS209" s="28"/>
      <c r="BGT209" s="28"/>
      <c r="BGU209" s="28"/>
      <c r="BGV209" s="28"/>
      <c r="BGW209" s="28"/>
      <c r="BGX209" s="28"/>
      <c r="BGY209" s="28"/>
      <c r="BGZ209" s="28"/>
      <c r="BHA209" s="28"/>
      <c r="BHB209" s="28"/>
      <c r="BHC209" s="28"/>
      <c r="BHD209" s="28"/>
      <c r="BHE209" s="28"/>
      <c r="BHF209" s="28"/>
      <c r="BHG209" s="28"/>
      <c r="BHH209" s="28"/>
      <c r="BHI209" s="28"/>
      <c r="BHJ209" s="28"/>
      <c r="BHK209" s="28"/>
      <c r="BHL209" s="28"/>
      <c r="BHM209" s="28"/>
      <c r="BHN209" s="28"/>
      <c r="BHO209" s="28"/>
      <c r="BHP209" s="28"/>
      <c r="BHQ209" s="28"/>
      <c r="BHR209" s="28"/>
      <c r="BHS209" s="28"/>
      <c r="BHT209" s="28"/>
      <c r="BHU209" s="28"/>
      <c r="BHV209" s="28"/>
      <c r="BHW209" s="28"/>
      <c r="BHX209" s="28"/>
      <c r="BHY209" s="28"/>
      <c r="BHZ209" s="28"/>
      <c r="BIA209" s="28"/>
      <c r="BIB209" s="28"/>
      <c r="BIC209" s="28"/>
      <c r="BID209" s="28"/>
      <c r="BIE209" s="28"/>
      <c r="BIF209" s="28"/>
      <c r="BIG209" s="28"/>
      <c r="BIH209" s="28"/>
      <c r="BII209" s="28"/>
      <c r="BIJ209" s="28"/>
      <c r="BIK209" s="28"/>
      <c r="BIL209" s="28"/>
      <c r="BIM209" s="28"/>
      <c r="BIN209" s="28"/>
      <c r="BIO209" s="28"/>
      <c r="BIP209" s="28"/>
      <c r="BIQ209" s="28"/>
      <c r="BIR209" s="28"/>
      <c r="BIS209" s="28"/>
      <c r="BIT209" s="28"/>
      <c r="BIU209" s="28"/>
      <c r="BIV209" s="28"/>
      <c r="BIW209" s="28"/>
      <c r="BIX209" s="28"/>
      <c r="BIY209" s="28"/>
      <c r="BIZ209" s="28"/>
      <c r="BJA209" s="28"/>
      <c r="BJB209" s="28"/>
      <c r="BJC209" s="28"/>
      <c r="BJD209" s="28"/>
      <c r="BJE209" s="28"/>
      <c r="BJF209" s="28"/>
      <c r="BJG209" s="28"/>
      <c r="BJH209" s="28"/>
      <c r="BJI209" s="28"/>
      <c r="BJJ209" s="28"/>
      <c r="BJK209" s="28"/>
      <c r="BJL209" s="28"/>
      <c r="BJM209" s="28"/>
      <c r="BJN209" s="28"/>
      <c r="BJO209" s="28"/>
      <c r="BJP209" s="28"/>
      <c r="BJQ209" s="28"/>
      <c r="BJR209" s="28"/>
      <c r="BJS209" s="28"/>
      <c r="BJT209" s="28"/>
      <c r="BJU209" s="28"/>
      <c r="BJV209" s="28"/>
      <c r="BJW209" s="28"/>
      <c r="BJX209" s="28"/>
      <c r="BJY209" s="28"/>
      <c r="BJZ209" s="28"/>
      <c r="BKA209" s="28"/>
      <c r="BKB209" s="28"/>
      <c r="BKC209" s="28"/>
      <c r="BKD209" s="28"/>
      <c r="BKE209" s="28"/>
      <c r="BKF209" s="28"/>
      <c r="BKG209" s="28"/>
      <c r="BKH209" s="28"/>
      <c r="BKI209" s="28"/>
      <c r="BKJ209" s="28"/>
      <c r="BKK209" s="28"/>
      <c r="BKL209" s="28"/>
      <c r="BKM209" s="28"/>
      <c r="BKN209" s="28"/>
      <c r="BKO209" s="28"/>
      <c r="BKP209" s="28"/>
      <c r="BKQ209" s="28"/>
      <c r="BKR209" s="28"/>
      <c r="BKS209" s="28"/>
      <c r="BKT209" s="28"/>
      <c r="BKU209" s="28"/>
      <c r="BKV209" s="28"/>
      <c r="BKW209" s="28"/>
      <c r="BKX209" s="28"/>
      <c r="BKY209" s="28"/>
      <c r="BKZ209" s="28"/>
      <c r="BLA209" s="28"/>
      <c r="BLB209" s="28"/>
      <c r="BLC209" s="28"/>
      <c r="BLD209" s="28"/>
      <c r="BLE209" s="28"/>
      <c r="BLF209" s="28"/>
      <c r="BLG209" s="28"/>
      <c r="BLH209" s="28"/>
      <c r="BLI209" s="28"/>
      <c r="BLJ209" s="28"/>
      <c r="BLK209" s="28"/>
      <c r="BLL209" s="28"/>
      <c r="BLM209" s="28"/>
      <c r="BLN209" s="28"/>
      <c r="BLO209" s="28"/>
      <c r="BLP209" s="28"/>
      <c r="BLQ209" s="28"/>
      <c r="BLR209" s="28"/>
      <c r="BLS209" s="28"/>
      <c r="BLT209" s="28"/>
      <c r="BLU209" s="28"/>
      <c r="BLV209" s="28"/>
      <c r="BLW209" s="28"/>
      <c r="BLX209" s="28"/>
      <c r="BLY209" s="28"/>
      <c r="BLZ209" s="28"/>
      <c r="BMA209" s="28"/>
      <c r="BMB209" s="28"/>
      <c r="BMC209" s="28"/>
      <c r="BMD209" s="28"/>
      <c r="BME209" s="28"/>
      <c r="BMF209" s="28"/>
      <c r="BMG209" s="28"/>
      <c r="BMH209" s="28"/>
      <c r="BMI209" s="28"/>
      <c r="BMJ209" s="28"/>
      <c r="BMK209" s="28"/>
      <c r="BML209" s="28"/>
      <c r="BMM209" s="28"/>
      <c r="BMN209" s="28"/>
      <c r="BMO209" s="28"/>
      <c r="BMP209" s="28"/>
      <c r="BMQ209" s="28"/>
      <c r="BMR209" s="28"/>
      <c r="BMS209" s="28"/>
      <c r="BMT209" s="28"/>
      <c r="BMU209" s="28"/>
      <c r="BMV209" s="28"/>
      <c r="BMW209" s="28"/>
      <c r="BMX209" s="28"/>
      <c r="BMY209" s="28"/>
      <c r="BMZ209" s="28"/>
      <c r="BNA209" s="28"/>
      <c r="BNB209" s="28"/>
      <c r="BNC209" s="28"/>
      <c r="BND209" s="28"/>
      <c r="BNE209" s="28"/>
      <c r="BNF209" s="28"/>
      <c r="BNG209" s="28"/>
      <c r="BNH209" s="28"/>
      <c r="BNI209" s="28"/>
      <c r="BNJ209" s="28"/>
      <c r="BNK209" s="28"/>
      <c r="BNL209" s="28"/>
      <c r="BNM209" s="28"/>
      <c r="BNN209" s="28"/>
      <c r="BNO209" s="28"/>
      <c r="BNP209" s="28"/>
      <c r="BNQ209" s="28"/>
      <c r="BNR209" s="28"/>
      <c r="BNS209" s="28"/>
      <c r="BNT209" s="28"/>
      <c r="BNU209" s="28"/>
      <c r="BNV209" s="28"/>
      <c r="BNW209" s="28"/>
      <c r="BNX209" s="28"/>
      <c r="BNY209" s="28"/>
      <c r="BNZ209" s="28"/>
      <c r="BOA209" s="28"/>
      <c r="BOB209" s="28"/>
      <c r="BOC209" s="28"/>
      <c r="BOD209" s="28"/>
      <c r="BOE209" s="28"/>
      <c r="BOF209" s="28"/>
      <c r="BOG209" s="28"/>
      <c r="BOH209" s="28"/>
      <c r="BOI209" s="28"/>
      <c r="BOJ209" s="28"/>
      <c r="BOK209" s="28"/>
      <c r="BOL209" s="28"/>
      <c r="BOM209" s="28"/>
      <c r="BON209" s="28"/>
      <c r="BOO209" s="28"/>
      <c r="BOP209" s="28"/>
      <c r="BOQ209" s="28"/>
      <c r="BOR209" s="28"/>
      <c r="BOS209" s="28"/>
      <c r="BOT209" s="28"/>
      <c r="BOU209" s="28"/>
      <c r="BOV209" s="28"/>
      <c r="BOW209" s="28"/>
      <c r="BOX209" s="28"/>
      <c r="BOY209" s="28"/>
      <c r="BOZ209" s="28"/>
      <c r="BPA209" s="28"/>
      <c r="BPB209" s="28"/>
      <c r="BPC209" s="28"/>
      <c r="BPD209" s="28"/>
      <c r="BPE209" s="28"/>
      <c r="BPF209" s="28"/>
      <c r="BPG209" s="28"/>
      <c r="BPH209" s="28"/>
      <c r="BPI209" s="28"/>
      <c r="BPJ209" s="28"/>
      <c r="BPK209" s="28"/>
      <c r="BPL209" s="28"/>
      <c r="BPM209" s="28"/>
      <c r="BPN209" s="28"/>
      <c r="BPO209" s="28"/>
      <c r="BPP209" s="28"/>
      <c r="BPQ209" s="28"/>
      <c r="BPR209" s="28"/>
      <c r="BPS209" s="28"/>
      <c r="BPT209" s="28"/>
      <c r="BPU209" s="28"/>
      <c r="BPV209" s="28"/>
      <c r="BPW209" s="28"/>
      <c r="BPX209" s="28"/>
      <c r="BPY209" s="28"/>
      <c r="BPZ209" s="28"/>
      <c r="BQA209" s="28"/>
      <c r="BQB209" s="28"/>
      <c r="BQC209" s="28"/>
      <c r="BQD209" s="28"/>
      <c r="BQE209" s="28"/>
      <c r="BQF209" s="28"/>
      <c r="BQG209" s="28"/>
      <c r="BQH209" s="28"/>
      <c r="BQI209" s="28"/>
      <c r="BQJ209" s="28"/>
      <c r="BQK209" s="28"/>
      <c r="BQL209" s="28"/>
      <c r="BQM209" s="28"/>
      <c r="BQN209" s="28"/>
      <c r="BQO209" s="28"/>
      <c r="BQP209" s="28"/>
      <c r="BQQ209" s="28"/>
      <c r="BQR209" s="28"/>
      <c r="BQS209" s="28"/>
      <c r="BQT209" s="28"/>
      <c r="BQU209" s="28"/>
      <c r="BQV209" s="28"/>
      <c r="BQW209" s="28"/>
      <c r="BQX209" s="28"/>
      <c r="BQY209" s="28"/>
      <c r="BQZ209" s="28"/>
      <c r="BRA209" s="28"/>
      <c r="BRB209" s="28"/>
      <c r="BRC209" s="28"/>
      <c r="BRD209" s="28"/>
      <c r="BRE209" s="28"/>
      <c r="BRF209" s="28"/>
      <c r="BRG209" s="28"/>
      <c r="BRH209" s="28"/>
      <c r="BRI209" s="28"/>
      <c r="BRJ209" s="28"/>
      <c r="BRK209" s="28"/>
      <c r="BRL209" s="28"/>
      <c r="BRM209" s="28"/>
      <c r="BRN209" s="28"/>
      <c r="BRO209" s="28"/>
      <c r="BRP209" s="28"/>
      <c r="BRQ209" s="28"/>
      <c r="BRR209" s="28"/>
      <c r="BRS209" s="28"/>
      <c r="BRT209" s="28"/>
      <c r="BRU209" s="28"/>
      <c r="BRV209" s="28"/>
      <c r="BRW209" s="28"/>
      <c r="BRX209" s="28"/>
      <c r="BRY209" s="28"/>
      <c r="BRZ209" s="28"/>
      <c r="BSA209" s="28"/>
      <c r="BSB209" s="28"/>
      <c r="BSC209" s="28"/>
      <c r="BSD209" s="28"/>
      <c r="BSE209" s="28"/>
      <c r="BSF209" s="28"/>
      <c r="BSG209" s="28"/>
      <c r="BSH209" s="28"/>
      <c r="BSI209" s="28"/>
      <c r="BSJ209" s="28"/>
      <c r="BSK209" s="28"/>
      <c r="BSL209" s="28"/>
      <c r="BSM209" s="28"/>
      <c r="BSN209" s="28"/>
      <c r="BSO209" s="28"/>
      <c r="BSP209" s="28"/>
      <c r="BSQ209" s="28"/>
      <c r="BSR209" s="28"/>
      <c r="BSS209" s="28"/>
      <c r="BST209" s="28"/>
      <c r="BSU209" s="28"/>
      <c r="BSV209" s="28"/>
      <c r="BSW209" s="28"/>
      <c r="BSX209" s="28"/>
      <c r="BSY209" s="28"/>
      <c r="BSZ209" s="28"/>
      <c r="BTA209" s="28"/>
      <c r="BTB209" s="28"/>
      <c r="BTC209" s="28"/>
      <c r="BTD209" s="28"/>
      <c r="BTE209" s="28"/>
      <c r="BTF209" s="28"/>
      <c r="BTG209" s="28"/>
      <c r="BTH209" s="28"/>
      <c r="BTI209" s="28"/>
      <c r="BTJ209" s="28"/>
      <c r="BTK209" s="28"/>
      <c r="BTL209" s="28"/>
      <c r="BTM209" s="28"/>
      <c r="BTN209" s="28"/>
      <c r="BTO209" s="28"/>
      <c r="BTP209" s="28"/>
      <c r="BTQ209" s="28"/>
      <c r="BTR209" s="28"/>
      <c r="BTS209" s="28"/>
      <c r="BTT209" s="28"/>
      <c r="BTU209" s="28"/>
      <c r="BTV209" s="28"/>
      <c r="BTW209" s="28"/>
      <c r="BTX209" s="28"/>
      <c r="BTY209" s="28"/>
      <c r="BTZ209" s="28"/>
      <c r="BUA209" s="28"/>
      <c r="BUB209" s="28"/>
      <c r="BUC209" s="28"/>
      <c r="BUD209" s="28"/>
      <c r="BUE209" s="28"/>
      <c r="BUF209" s="28"/>
      <c r="BUG209" s="28"/>
      <c r="BUH209" s="28"/>
      <c r="BUI209" s="28"/>
      <c r="BUJ209" s="28"/>
      <c r="BUK209" s="28"/>
      <c r="BUL209" s="28"/>
      <c r="BUM209" s="28"/>
      <c r="BUN209" s="28"/>
      <c r="BUO209" s="28"/>
      <c r="BUP209" s="28"/>
      <c r="BUQ209" s="28"/>
      <c r="BUR209" s="28"/>
      <c r="BUS209" s="28"/>
      <c r="BUT209" s="28"/>
      <c r="BUU209" s="28"/>
      <c r="BUV209" s="28"/>
      <c r="BUW209" s="28"/>
      <c r="BUX209" s="28"/>
      <c r="BUY209" s="28"/>
      <c r="BUZ209" s="28"/>
      <c r="BVA209" s="28"/>
      <c r="BVB209" s="28"/>
      <c r="BVC209" s="28"/>
      <c r="BVD209" s="28"/>
      <c r="BVE209" s="28"/>
      <c r="BVF209" s="28"/>
      <c r="BVG209" s="28"/>
      <c r="BVH209" s="28"/>
      <c r="BVI209" s="28"/>
      <c r="BVJ209" s="28"/>
      <c r="BVK209" s="28"/>
      <c r="BVL209" s="28"/>
      <c r="BVM209" s="28"/>
      <c r="BVN209" s="28"/>
      <c r="BVO209" s="28"/>
      <c r="BVP209" s="28"/>
      <c r="BVQ209" s="28"/>
      <c r="BVR209" s="28"/>
      <c r="BVS209" s="28"/>
      <c r="BVT209" s="28"/>
      <c r="BVU209" s="28"/>
      <c r="BVV209" s="28"/>
      <c r="BVW209" s="28"/>
      <c r="BVX209" s="28"/>
      <c r="BVY209" s="28"/>
      <c r="BVZ209" s="28"/>
      <c r="BWA209" s="28"/>
      <c r="BWB209" s="28"/>
      <c r="BWC209" s="28"/>
      <c r="BWD209" s="28"/>
      <c r="BWE209" s="28"/>
      <c r="BWF209" s="28"/>
      <c r="BWG209" s="28"/>
      <c r="BWH209" s="28"/>
      <c r="BWI209" s="28"/>
      <c r="BWJ209" s="28"/>
      <c r="BWK209" s="28"/>
      <c r="BWL209" s="28"/>
      <c r="BWM209" s="28"/>
      <c r="BWN209" s="28"/>
      <c r="BWO209" s="28"/>
      <c r="BWP209" s="28"/>
      <c r="BWQ209" s="28"/>
      <c r="BWR209" s="28"/>
      <c r="BWS209" s="28"/>
      <c r="BWT209" s="28"/>
      <c r="BWU209" s="28"/>
      <c r="BWV209" s="28"/>
      <c r="BWW209" s="28"/>
      <c r="BWX209" s="28"/>
      <c r="BWY209" s="28"/>
      <c r="BWZ209" s="28"/>
      <c r="BXA209" s="28"/>
      <c r="BXB209" s="28"/>
      <c r="BXC209" s="28"/>
      <c r="BXD209" s="28"/>
      <c r="BXE209" s="28"/>
      <c r="BXF209" s="28"/>
      <c r="BXG209" s="28"/>
      <c r="BXH209" s="28"/>
      <c r="BXI209" s="28"/>
      <c r="BXJ209" s="28"/>
      <c r="BXK209" s="28"/>
      <c r="BXL209" s="28"/>
      <c r="BXM209" s="28"/>
      <c r="BXN209" s="28"/>
      <c r="BXO209" s="28"/>
      <c r="BXP209" s="28"/>
      <c r="BXQ209" s="28"/>
      <c r="BXR209" s="28"/>
      <c r="BXS209" s="28"/>
      <c r="BXT209" s="28"/>
      <c r="BXU209" s="28"/>
      <c r="BXV209" s="28"/>
      <c r="BXW209" s="28"/>
      <c r="BXX209" s="28"/>
      <c r="BXY209" s="28"/>
      <c r="BXZ209" s="28"/>
      <c r="BYA209" s="28"/>
      <c r="BYB209" s="28"/>
      <c r="BYC209" s="28"/>
      <c r="BYD209" s="28"/>
      <c r="BYE209" s="28"/>
      <c r="BYF209" s="28"/>
      <c r="BYG209" s="28"/>
      <c r="BYH209" s="28"/>
      <c r="BYI209" s="28"/>
      <c r="BYJ209" s="28"/>
      <c r="BYK209" s="28"/>
      <c r="BYL209" s="28"/>
      <c r="BYM209" s="28"/>
      <c r="BYN209" s="28"/>
      <c r="BYO209" s="28"/>
      <c r="BYP209" s="28"/>
      <c r="BYQ209" s="28"/>
      <c r="BYR209" s="28"/>
      <c r="BYS209" s="28"/>
      <c r="BYT209" s="28"/>
      <c r="BYU209" s="28"/>
      <c r="BYV209" s="28"/>
      <c r="BYW209" s="28"/>
      <c r="BYX209" s="28"/>
      <c r="BYY209" s="28"/>
      <c r="BYZ209" s="28"/>
      <c r="BZA209" s="28"/>
      <c r="BZB209" s="28"/>
      <c r="BZC209" s="28"/>
      <c r="BZD209" s="28"/>
      <c r="BZE209" s="28"/>
      <c r="BZF209" s="28"/>
      <c r="BZG209" s="28"/>
      <c r="BZH209" s="28"/>
      <c r="BZI209" s="28"/>
      <c r="BZJ209" s="28"/>
      <c r="BZK209" s="28"/>
      <c r="BZL209" s="28"/>
      <c r="BZM209" s="28"/>
      <c r="BZN209" s="28"/>
      <c r="BZO209" s="28"/>
      <c r="BZP209" s="28"/>
      <c r="BZQ209" s="28"/>
      <c r="BZR209" s="28"/>
      <c r="BZS209" s="28"/>
      <c r="BZT209" s="28"/>
      <c r="BZU209" s="28"/>
      <c r="BZV209" s="28"/>
      <c r="BZW209" s="28"/>
      <c r="BZX209" s="28"/>
      <c r="BZY209" s="28"/>
      <c r="BZZ209" s="28"/>
      <c r="CAA209" s="28"/>
      <c r="CAB209" s="28"/>
      <c r="CAC209" s="28"/>
      <c r="CAD209" s="28"/>
      <c r="CAE209" s="28"/>
      <c r="CAF209" s="28"/>
      <c r="CAG209" s="28"/>
      <c r="CAH209" s="28"/>
      <c r="CAI209" s="28"/>
      <c r="CAJ209" s="28"/>
      <c r="CAK209" s="28"/>
      <c r="CAL209" s="28"/>
      <c r="CAM209" s="28"/>
      <c r="CAN209" s="28"/>
      <c r="CAO209" s="28"/>
      <c r="CAP209" s="28"/>
      <c r="CAQ209" s="28"/>
      <c r="CAR209" s="28"/>
      <c r="CAS209" s="28"/>
      <c r="CAT209" s="28"/>
      <c r="CAU209" s="28"/>
      <c r="CAV209" s="28"/>
      <c r="CAW209" s="28"/>
      <c r="CAX209" s="28"/>
      <c r="CAY209" s="28"/>
      <c r="CAZ209" s="28"/>
      <c r="CBA209" s="28"/>
      <c r="CBB209" s="28"/>
      <c r="CBC209" s="28"/>
      <c r="CBD209" s="28"/>
      <c r="CBE209" s="28"/>
      <c r="CBF209" s="28"/>
      <c r="CBG209" s="28"/>
      <c r="CBH209" s="28"/>
      <c r="CBI209" s="28"/>
      <c r="CBJ209" s="28"/>
      <c r="CBK209" s="28"/>
      <c r="CBL209" s="28"/>
      <c r="CBM209" s="28"/>
      <c r="CBN209" s="28"/>
      <c r="CBO209" s="28"/>
      <c r="CBP209" s="28"/>
      <c r="CBQ209" s="28"/>
      <c r="CBR209" s="28"/>
      <c r="CBS209" s="28"/>
      <c r="CBT209" s="28"/>
      <c r="CBU209" s="28"/>
      <c r="CBV209" s="28"/>
      <c r="CBW209" s="28"/>
      <c r="CBX209" s="28"/>
      <c r="CBY209" s="28"/>
      <c r="CBZ209" s="28"/>
      <c r="CCA209" s="28"/>
      <c r="CCB209" s="28"/>
      <c r="CCC209" s="28"/>
      <c r="CCD209" s="28"/>
      <c r="CCE209" s="28"/>
      <c r="CCF209" s="28"/>
      <c r="CCG209" s="28"/>
      <c r="CCH209" s="28"/>
      <c r="CCI209" s="28"/>
      <c r="CCJ209" s="28"/>
      <c r="CCK209" s="28"/>
      <c r="CCL209" s="28"/>
      <c r="CCM209" s="28"/>
      <c r="CCN209" s="28"/>
      <c r="CCO209" s="28"/>
      <c r="CCP209" s="28"/>
      <c r="CCQ209" s="28"/>
      <c r="CCR209" s="28"/>
      <c r="CCS209" s="28"/>
      <c r="CCT209" s="28"/>
      <c r="CCU209" s="28"/>
      <c r="CCV209" s="28"/>
      <c r="CCW209" s="28"/>
      <c r="CCX209" s="28"/>
      <c r="CCY209" s="28"/>
      <c r="CCZ209" s="28"/>
      <c r="CDA209" s="28"/>
      <c r="CDB209" s="28"/>
      <c r="CDC209" s="28"/>
      <c r="CDD209" s="28"/>
      <c r="CDE209" s="28"/>
      <c r="CDF209" s="28"/>
      <c r="CDG209" s="28"/>
      <c r="CDH209" s="28"/>
      <c r="CDI209" s="28"/>
      <c r="CDJ209" s="28"/>
      <c r="CDK209" s="28"/>
      <c r="CDL209" s="28"/>
      <c r="CDM209" s="28"/>
      <c r="CDN209" s="28"/>
      <c r="CDO209" s="28"/>
      <c r="CDP209" s="28"/>
      <c r="CDQ209" s="28"/>
      <c r="CDR209" s="28"/>
      <c r="CDS209" s="28"/>
      <c r="CDT209" s="28"/>
      <c r="CDU209" s="28"/>
      <c r="CDV209" s="28"/>
      <c r="CDW209" s="28"/>
      <c r="CDX209" s="28"/>
      <c r="CDY209" s="28"/>
      <c r="CDZ209" s="28"/>
      <c r="CEA209" s="28"/>
      <c r="CEB209" s="28"/>
      <c r="CEC209" s="28"/>
      <c r="CED209" s="28"/>
      <c r="CEE209" s="28"/>
      <c r="CEF209" s="28"/>
      <c r="CEG209" s="28"/>
      <c r="CEH209" s="28"/>
      <c r="CEI209" s="28"/>
      <c r="CEJ209" s="28"/>
      <c r="CEK209" s="28"/>
      <c r="CEL209" s="28"/>
      <c r="CEM209" s="28"/>
      <c r="CEN209" s="28"/>
      <c r="CEO209" s="28"/>
      <c r="CEP209" s="28"/>
      <c r="CEQ209" s="28"/>
      <c r="CER209" s="28"/>
      <c r="CES209" s="28"/>
      <c r="CET209" s="28"/>
      <c r="CEU209" s="28"/>
      <c r="CEV209" s="28"/>
      <c r="CEW209" s="28"/>
      <c r="CEX209" s="28"/>
      <c r="CEY209" s="28"/>
      <c r="CEZ209" s="28"/>
      <c r="CFA209" s="28"/>
      <c r="CFB209" s="28"/>
      <c r="CFC209" s="28"/>
      <c r="CFD209" s="28"/>
      <c r="CFE209" s="28"/>
      <c r="CFF209" s="28"/>
      <c r="CFG209" s="28"/>
      <c r="CFH209" s="28"/>
      <c r="CFI209" s="28"/>
      <c r="CFJ209" s="28"/>
      <c r="CFK209" s="28"/>
      <c r="CFL209" s="28"/>
      <c r="CFM209" s="28"/>
      <c r="CFN209" s="28"/>
      <c r="CFO209" s="28"/>
      <c r="CFP209" s="28"/>
      <c r="CFQ209" s="28"/>
      <c r="CFR209" s="28"/>
      <c r="CFS209" s="28"/>
      <c r="CFT209" s="28"/>
      <c r="CFU209" s="28"/>
      <c r="CFV209" s="28"/>
      <c r="CFW209" s="28"/>
      <c r="CFX209" s="28"/>
      <c r="CFY209" s="28"/>
      <c r="CFZ209" s="28"/>
      <c r="CGA209" s="28"/>
      <c r="CGB209" s="28"/>
      <c r="CGC209" s="28"/>
      <c r="CGD209" s="28"/>
      <c r="CGE209" s="28"/>
      <c r="CGF209" s="28"/>
      <c r="CGG209" s="28"/>
      <c r="CGH209" s="28"/>
      <c r="CGI209" s="28"/>
      <c r="CGJ209" s="28"/>
      <c r="CGK209" s="28"/>
      <c r="CGL209" s="28"/>
      <c r="CGM209" s="28"/>
      <c r="CGN209" s="28"/>
      <c r="CGO209" s="28"/>
      <c r="CGP209" s="28"/>
      <c r="CGQ209" s="28"/>
      <c r="CGR209" s="28"/>
      <c r="CGS209" s="28"/>
      <c r="CGT209" s="28"/>
      <c r="CGU209" s="28"/>
      <c r="CGV209" s="28"/>
      <c r="CGW209" s="28"/>
      <c r="CGX209" s="28"/>
      <c r="CGY209" s="28"/>
      <c r="CGZ209" s="28"/>
      <c r="CHA209" s="28"/>
      <c r="CHB209" s="28"/>
      <c r="CHC209" s="28"/>
      <c r="CHD209" s="28"/>
      <c r="CHE209" s="28"/>
      <c r="CHF209" s="28"/>
      <c r="CHG209" s="28"/>
      <c r="CHH209" s="28"/>
      <c r="CHI209" s="28"/>
      <c r="CHJ209" s="28"/>
      <c r="CHK209" s="28"/>
      <c r="CHL209" s="28"/>
      <c r="CHM209" s="28"/>
      <c r="CHN209" s="28"/>
      <c r="CHO209" s="28"/>
      <c r="CHP209" s="28"/>
      <c r="CHQ209" s="28"/>
      <c r="CHR209" s="28"/>
      <c r="CHS209" s="28"/>
      <c r="CHT209" s="28"/>
      <c r="CHU209" s="28"/>
      <c r="CHV209" s="28"/>
      <c r="CHW209" s="28"/>
      <c r="CHX209" s="28"/>
      <c r="CHY209" s="28"/>
      <c r="CHZ209" s="28"/>
      <c r="CIA209" s="28"/>
      <c r="CIB209" s="28"/>
      <c r="CIC209" s="28"/>
      <c r="CID209" s="28"/>
      <c r="CIE209" s="28"/>
      <c r="CIF209" s="28"/>
      <c r="CIG209" s="28"/>
      <c r="CIH209" s="28"/>
      <c r="CII209" s="28"/>
      <c r="CIJ209" s="28"/>
      <c r="CIK209" s="28"/>
      <c r="CIL209" s="28"/>
      <c r="CIM209" s="28"/>
      <c r="CIN209" s="28"/>
      <c r="CIO209" s="28"/>
      <c r="CIP209" s="28"/>
      <c r="CIQ209" s="28"/>
      <c r="CIR209" s="28"/>
      <c r="CIS209" s="28"/>
      <c r="CIT209" s="28"/>
      <c r="CIU209" s="28"/>
      <c r="CIV209" s="28"/>
      <c r="CIW209" s="28"/>
      <c r="CIX209" s="28"/>
      <c r="CIY209" s="28"/>
      <c r="CIZ209" s="28"/>
      <c r="CJA209" s="28"/>
      <c r="CJB209" s="28"/>
      <c r="CJC209" s="28"/>
      <c r="CJD209" s="28"/>
      <c r="CJE209" s="28"/>
      <c r="CJF209" s="28"/>
      <c r="CJG209" s="28"/>
      <c r="CJH209" s="28"/>
      <c r="CJI209" s="28"/>
      <c r="CJJ209" s="28"/>
      <c r="CJK209" s="28"/>
      <c r="CJL209" s="28"/>
      <c r="CJM209" s="28"/>
      <c r="CJN209" s="28"/>
      <c r="CJO209" s="28"/>
      <c r="CJP209" s="28"/>
      <c r="CJQ209" s="28"/>
      <c r="CJR209" s="28"/>
      <c r="CJS209" s="28"/>
      <c r="CJT209" s="28"/>
      <c r="CJU209" s="28"/>
      <c r="CJV209" s="28"/>
      <c r="CJW209" s="28"/>
      <c r="CJX209" s="28"/>
      <c r="CJY209" s="28"/>
      <c r="CJZ209" s="28"/>
      <c r="CKA209" s="28"/>
      <c r="CKB209" s="28"/>
      <c r="CKC209" s="28"/>
      <c r="CKD209" s="28"/>
      <c r="CKE209" s="28"/>
      <c r="CKF209" s="28"/>
      <c r="CKG209" s="28"/>
      <c r="CKH209" s="28"/>
      <c r="CKI209" s="28"/>
      <c r="CKJ209" s="28"/>
      <c r="CKK209" s="28"/>
      <c r="CKL209" s="28"/>
      <c r="CKM209" s="28"/>
      <c r="CKN209" s="28"/>
      <c r="CKO209" s="28"/>
      <c r="CKP209" s="28"/>
      <c r="CKQ209" s="28"/>
      <c r="CKR209" s="28"/>
      <c r="CKS209" s="28"/>
      <c r="CKT209" s="28"/>
      <c r="CKU209" s="28"/>
      <c r="CKV209" s="28"/>
      <c r="CKW209" s="28"/>
      <c r="CKX209" s="28"/>
      <c r="CKY209" s="28"/>
      <c r="CKZ209" s="28"/>
      <c r="CLA209" s="28"/>
      <c r="CLB209" s="28"/>
      <c r="CLC209" s="28"/>
      <c r="CLD209" s="28"/>
      <c r="CLE209" s="28"/>
      <c r="CLF209" s="28"/>
      <c r="CLG209" s="28"/>
      <c r="CLH209" s="28"/>
      <c r="CLI209" s="28"/>
      <c r="CLJ209" s="28"/>
      <c r="CLK209" s="28"/>
      <c r="CLL209" s="28"/>
      <c r="CLM209" s="28"/>
      <c r="CLN209" s="28"/>
      <c r="CLO209" s="28"/>
      <c r="CLP209" s="28"/>
      <c r="CLQ209" s="28"/>
      <c r="CLR209" s="28"/>
      <c r="CLS209" s="28"/>
      <c r="CLT209" s="28"/>
      <c r="CLU209" s="28"/>
      <c r="CLV209" s="28"/>
      <c r="CLW209" s="28"/>
      <c r="CLX209" s="28"/>
      <c r="CLY209" s="28"/>
      <c r="CLZ209" s="28"/>
      <c r="CMA209" s="28"/>
      <c r="CMB209" s="28"/>
      <c r="CMC209" s="28"/>
      <c r="CMD209" s="28"/>
      <c r="CME209" s="28"/>
      <c r="CMF209" s="28"/>
      <c r="CMG209" s="28"/>
      <c r="CMH209" s="28"/>
      <c r="CMI209" s="28"/>
      <c r="CMJ209" s="28"/>
      <c r="CMK209" s="28"/>
      <c r="CML209" s="28"/>
      <c r="CMM209" s="28"/>
      <c r="CMN209" s="28"/>
      <c r="CMO209" s="28"/>
      <c r="CMP209" s="28"/>
      <c r="CMQ209" s="28"/>
      <c r="CMR209" s="28"/>
      <c r="CMS209" s="28"/>
      <c r="CMT209" s="28"/>
      <c r="CMU209" s="28"/>
      <c r="CMV209" s="28"/>
      <c r="CMW209" s="28"/>
      <c r="CMX209" s="28"/>
      <c r="CMY209" s="28"/>
      <c r="CMZ209" s="28"/>
      <c r="CNA209" s="28"/>
      <c r="CNB209" s="28"/>
      <c r="CNC209" s="28"/>
      <c r="CND209" s="28"/>
      <c r="CNE209" s="28"/>
      <c r="CNF209" s="28"/>
      <c r="CNG209" s="28"/>
      <c r="CNH209" s="28"/>
      <c r="CNI209" s="28"/>
      <c r="CNJ209" s="28"/>
      <c r="CNK209" s="28"/>
      <c r="CNL209" s="28"/>
      <c r="CNM209" s="28"/>
      <c r="CNN209" s="28"/>
      <c r="CNO209" s="28"/>
      <c r="CNP209" s="28"/>
      <c r="CNQ209" s="28"/>
      <c r="CNR209" s="28"/>
      <c r="CNS209" s="28"/>
      <c r="CNT209" s="28"/>
      <c r="CNU209" s="28"/>
      <c r="CNV209" s="28"/>
      <c r="CNW209" s="28"/>
      <c r="CNX209" s="28"/>
      <c r="CNY209" s="28"/>
      <c r="CNZ209" s="28"/>
      <c r="COA209" s="28"/>
      <c r="COB209" s="28"/>
      <c r="COC209" s="28"/>
      <c r="COD209" s="28"/>
      <c r="COE209" s="28"/>
      <c r="COF209" s="28"/>
      <c r="COG209" s="28"/>
      <c r="COH209" s="28"/>
      <c r="COI209" s="28"/>
      <c r="COJ209" s="28"/>
      <c r="COK209" s="28"/>
      <c r="COL209" s="28"/>
      <c r="COM209" s="28"/>
      <c r="CON209" s="28"/>
      <c r="COO209" s="28"/>
      <c r="COP209" s="28"/>
      <c r="COQ209" s="28"/>
      <c r="COR209" s="28"/>
      <c r="COS209" s="28"/>
      <c r="COT209" s="28"/>
      <c r="COU209" s="28"/>
      <c r="COV209" s="28"/>
      <c r="COW209" s="28"/>
      <c r="COX209" s="28"/>
      <c r="COY209" s="28"/>
      <c r="COZ209" s="28"/>
      <c r="CPA209" s="28"/>
      <c r="CPB209" s="28"/>
      <c r="CPC209" s="28"/>
      <c r="CPD209" s="28"/>
      <c r="CPE209" s="28"/>
      <c r="CPF209" s="28"/>
      <c r="CPG209" s="28"/>
      <c r="CPH209" s="28"/>
      <c r="CPI209" s="28"/>
      <c r="CPJ209" s="28"/>
      <c r="CPK209" s="28"/>
      <c r="CPL209" s="28"/>
      <c r="CPM209" s="28"/>
      <c r="CPN209" s="28"/>
      <c r="CPO209" s="28"/>
      <c r="CPP209" s="28"/>
      <c r="CPQ209" s="28"/>
      <c r="CPR209" s="28"/>
      <c r="CPS209" s="28"/>
      <c r="CPT209" s="28"/>
      <c r="CPU209" s="28"/>
      <c r="CPV209" s="28"/>
      <c r="CPW209" s="28"/>
      <c r="CPX209" s="28"/>
      <c r="CPY209" s="28"/>
      <c r="CPZ209" s="28"/>
      <c r="CQA209" s="28"/>
      <c r="CQB209" s="28"/>
      <c r="CQC209" s="28"/>
      <c r="CQD209" s="28"/>
      <c r="CQE209" s="28"/>
      <c r="CQF209" s="28"/>
      <c r="CQG209" s="28"/>
      <c r="CQH209" s="28"/>
      <c r="CQI209" s="28"/>
      <c r="CQJ209" s="28"/>
      <c r="CQK209" s="28"/>
      <c r="CQL209" s="28"/>
      <c r="CQM209" s="28"/>
      <c r="CQN209" s="28"/>
      <c r="CQO209" s="28"/>
      <c r="CQP209" s="28"/>
      <c r="CQQ209" s="28"/>
      <c r="CQR209" s="28"/>
      <c r="CQS209" s="28"/>
      <c r="CQT209" s="28"/>
      <c r="CQU209" s="28"/>
      <c r="CQV209" s="28"/>
      <c r="CQW209" s="28"/>
      <c r="CQX209" s="28"/>
      <c r="CQY209" s="28"/>
      <c r="CQZ209" s="28"/>
      <c r="CRA209" s="28"/>
      <c r="CRB209" s="28"/>
      <c r="CRC209" s="28"/>
      <c r="CRD209" s="28"/>
      <c r="CRE209" s="28"/>
      <c r="CRF209" s="28"/>
      <c r="CRG209" s="28"/>
      <c r="CRH209" s="28"/>
      <c r="CRI209" s="28"/>
      <c r="CRJ209" s="28"/>
      <c r="CRK209" s="28"/>
      <c r="CRL209" s="28"/>
      <c r="CRM209" s="28"/>
      <c r="CRN209" s="28"/>
      <c r="CRO209" s="28"/>
      <c r="CRP209" s="28"/>
      <c r="CRQ209" s="28"/>
      <c r="CRR209" s="28"/>
      <c r="CRS209" s="28"/>
      <c r="CRT209" s="28"/>
      <c r="CRU209" s="28"/>
      <c r="CRV209" s="28"/>
      <c r="CRW209" s="28"/>
      <c r="CRX209" s="28"/>
      <c r="CRY209" s="28"/>
      <c r="CRZ209" s="28"/>
      <c r="CSA209" s="28"/>
      <c r="CSB209" s="28"/>
      <c r="CSC209" s="28"/>
      <c r="CSD209" s="28"/>
      <c r="CSE209" s="28"/>
      <c r="CSF209" s="28"/>
      <c r="CSG209" s="28"/>
      <c r="CSH209" s="28"/>
      <c r="CSI209" s="28"/>
      <c r="CSJ209" s="28"/>
      <c r="CSK209" s="28"/>
      <c r="CSL209" s="28"/>
      <c r="CSM209" s="28"/>
      <c r="CSN209" s="28"/>
      <c r="CSO209" s="28"/>
      <c r="CSP209" s="28"/>
      <c r="CSQ209" s="28"/>
      <c r="CSR209" s="28"/>
      <c r="CSS209" s="28"/>
      <c r="CST209" s="28"/>
      <c r="CSU209" s="28"/>
      <c r="CSV209" s="28"/>
      <c r="CSW209" s="28"/>
      <c r="CSX209" s="28"/>
      <c r="CSY209" s="28"/>
      <c r="CSZ209" s="28"/>
      <c r="CTA209" s="28"/>
      <c r="CTB209" s="28"/>
      <c r="CTC209" s="28"/>
      <c r="CTD209" s="28"/>
      <c r="CTE209" s="28"/>
      <c r="CTF209" s="28"/>
      <c r="CTG209" s="28"/>
      <c r="CTH209" s="28"/>
      <c r="CTI209" s="28"/>
      <c r="CTJ209" s="28"/>
      <c r="CTK209" s="28"/>
      <c r="CTL209" s="28"/>
      <c r="CTM209" s="28"/>
      <c r="CTN209" s="28"/>
      <c r="CTO209" s="28"/>
      <c r="CTP209" s="28"/>
      <c r="CTQ209" s="28"/>
      <c r="CTR209" s="28"/>
      <c r="CTS209" s="28"/>
      <c r="CTT209" s="28"/>
      <c r="CTU209" s="28"/>
      <c r="CTV209" s="28"/>
      <c r="CTW209" s="28"/>
      <c r="CTX209" s="28"/>
      <c r="CTY209" s="28"/>
      <c r="CTZ209" s="28"/>
      <c r="CUA209" s="28"/>
      <c r="CUB209" s="28"/>
      <c r="CUC209" s="28"/>
      <c r="CUD209" s="28"/>
      <c r="CUE209" s="28"/>
      <c r="CUF209" s="28"/>
      <c r="CUG209" s="28"/>
      <c r="CUH209" s="28"/>
      <c r="CUI209" s="28"/>
      <c r="CUJ209" s="28"/>
      <c r="CUK209" s="28"/>
      <c r="CUL209" s="28"/>
      <c r="CUM209" s="28"/>
      <c r="CUN209" s="28"/>
      <c r="CUO209" s="28"/>
      <c r="CUP209" s="28"/>
      <c r="CUQ209" s="28"/>
      <c r="CUR209" s="28"/>
      <c r="CUS209" s="28"/>
      <c r="CUT209" s="28"/>
      <c r="CUU209" s="28"/>
      <c r="CUV209" s="28"/>
      <c r="CUW209" s="28"/>
      <c r="CUX209" s="28"/>
      <c r="CUY209" s="28"/>
      <c r="CUZ209" s="28"/>
      <c r="CVA209" s="28"/>
      <c r="CVB209" s="28"/>
      <c r="CVC209" s="28"/>
      <c r="CVD209" s="28"/>
      <c r="CVE209" s="28"/>
      <c r="CVF209" s="28"/>
      <c r="CVG209" s="28"/>
      <c r="CVH209" s="28"/>
      <c r="CVI209" s="28"/>
      <c r="CVJ209" s="28"/>
      <c r="CVK209" s="28"/>
      <c r="CVL209" s="28"/>
      <c r="CVM209" s="28"/>
      <c r="CVN209" s="28"/>
      <c r="CVO209" s="28"/>
      <c r="CVP209" s="28"/>
      <c r="CVQ209" s="28"/>
      <c r="CVR209" s="28"/>
      <c r="CVS209" s="28"/>
      <c r="CVT209" s="28"/>
      <c r="CVU209" s="28"/>
      <c r="CVV209" s="28"/>
      <c r="CVW209" s="28"/>
      <c r="CVX209" s="28"/>
      <c r="CVY209" s="28"/>
      <c r="CVZ209" s="28"/>
      <c r="CWA209" s="28"/>
      <c r="CWB209" s="28"/>
      <c r="CWC209" s="28"/>
      <c r="CWD209" s="28"/>
      <c r="CWE209" s="28"/>
      <c r="CWF209" s="28"/>
      <c r="CWG209" s="28"/>
      <c r="CWH209" s="28"/>
      <c r="CWI209" s="28"/>
      <c r="CWJ209" s="28"/>
      <c r="CWK209" s="28"/>
      <c r="CWL209" s="28"/>
      <c r="CWM209" s="28"/>
      <c r="CWN209" s="28"/>
      <c r="CWO209" s="28"/>
      <c r="CWP209" s="28"/>
      <c r="CWQ209" s="28"/>
      <c r="CWR209" s="28"/>
      <c r="CWS209" s="28"/>
      <c r="CWT209" s="28"/>
      <c r="CWU209" s="28"/>
      <c r="CWV209" s="28"/>
      <c r="CWW209" s="28"/>
      <c r="CWX209" s="28"/>
      <c r="CWY209" s="28"/>
      <c r="CWZ209" s="28"/>
      <c r="CXA209" s="28"/>
      <c r="CXB209" s="28"/>
      <c r="CXC209" s="28"/>
      <c r="CXD209" s="28"/>
      <c r="CXE209" s="28"/>
      <c r="CXF209" s="28"/>
      <c r="CXG209" s="28"/>
      <c r="CXH209" s="28"/>
      <c r="CXI209" s="28"/>
      <c r="CXJ209" s="28"/>
      <c r="CXK209" s="28"/>
      <c r="CXL209" s="28"/>
      <c r="CXM209" s="28"/>
      <c r="CXN209" s="28"/>
      <c r="CXO209" s="28"/>
      <c r="CXP209" s="28"/>
      <c r="CXQ209" s="28"/>
      <c r="CXR209" s="28"/>
      <c r="CXS209" s="28"/>
      <c r="CXT209" s="28"/>
      <c r="CXU209" s="28"/>
      <c r="CXV209" s="28"/>
      <c r="CXW209" s="28"/>
      <c r="CXX209" s="28"/>
      <c r="CXY209" s="28"/>
      <c r="CXZ209" s="28"/>
      <c r="CYA209" s="28"/>
      <c r="CYB209" s="28"/>
      <c r="CYC209" s="28"/>
      <c r="CYD209" s="28"/>
      <c r="CYE209" s="28"/>
      <c r="CYF209" s="28"/>
      <c r="CYG209" s="28"/>
      <c r="CYH209" s="28"/>
      <c r="CYI209" s="28"/>
      <c r="CYJ209" s="28"/>
      <c r="CYK209" s="28"/>
      <c r="CYL209" s="28"/>
      <c r="CYM209" s="28"/>
      <c r="CYN209" s="28"/>
      <c r="CYO209" s="28"/>
      <c r="CYP209" s="28"/>
      <c r="CYQ209" s="28"/>
      <c r="CYR209" s="28"/>
      <c r="CYS209" s="28"/>
      <c r="CYT209" s="28"/>
      <c r="CYU209" s="28"/>
      <c r="CYV209" s="28"/>
      <c r="CYW209" s="28"/>
      <c r="CYX209" s="28"/>
      <c r="CYY209" s="28"/>
      <c r="CYZ209" s="28"/>
      <c r="CZA209" s="28"/>
      <c r="CZB209" s="28"/>
      <c r="CZC209" s="28"/>
      <c r="CZD209" s="28"/>
      <c r="CZE209" s="28"/>
      <c r="CZF209" s="28"/>
      <c r="CZG209" s="28"/>
      <c r="CZH209" s="28"/>
      <c r="CZI209" s="28"/>
      <c r="CZJ209" s="28"/>
      <c r="CZK209" s="28"/>
      <c r="CZL209" s="28"/>
      <c r="CZM209" s="28"/>
      <c r="CZN209" s="28"/>
      <c r="CZO209" s="28"/>
      <c r="CZP209" s="28"/>
      <c r="CZQ209" s="28"/>
      <c r="CZR209" s="28"/>
      <c r="CZS209" s="28"/>
      <c r="CZT209" s="28"/>
      <c r="CZU209" s="28"/>
      <c r="CZV209" s="28"/>
      <c r="CZW209" s="28"/>
      <c r="CZX209" s="28"/>
      <c r="CZY209" s="28"/>
      <c r="CZZ209" s="28"/>
      <c r="DAA209" s="28"/>
      <c r="DAB209" s="28"/>
      <c r="DAC209" s="28"/>
      <c r="DAD209" s="28"/>
      <c r="DAE209" s="28"/>
      <c r="DAF209" s="28"/>
      <c r="DAG209" s="28"/>
      <c r="DAH209" s="28"/>
      <c r="DAI209" s="28"/>
      <c r="DAJ209" s="28"/>
      <c r="DAK209" s="28"/>
      <c r="DAL209" s="28"/>
      <c r="DAM209" s="28"/>
      <c r="DAN209" s="28"/>
      <c r="DAO209" s="28"/>
      <c r="DAP209" s="28"/>
      <c r="DAQ209" s="28"/>
      <c r="DAR209" s="28"/>
      <c r="DAS209" s="28"/>
      <c r="DAT209" s="28"/>
      <c r="DAU209" s="28"/>
      <c r="DAV209" s="28"/>
      <c r="DAW209" s="28"/>
      <c r="DAX209" s="28"/>
      <c r="DAY209" s="28"/>
      <c r="DAZ209" s="28"/>
      <c r="DBA209" s="28"/>
      <c r="DBB209" s="28"/>
      <c r="DBC209" s="28"/>
      <c r="DBD209" s="28"/>
      <c r="DBE209" s="28"/>
      <c r="DBF209" s="28"/>
      <c r="DBG209" s="28"/>
      <c r="DBH209" s="28"/>
      <c r="DBI209" s="28"/>
      <c r="DBJ209" s="28"/>
      <c r="DBK209" s="28"/>
      <c r="DBL209" s="28"/>
      <c r="DBM209" s="28"/>
      <c r="DBN209" s="28"/>
      <c r="DBO209" s="28"/>
      <c r="DBP209" s="28"/>
      <c r="DBQ209" s="28"/>
      <c r="DBR209" s="28"/>
      <c r="DBS209" s="28"/>
      <c r="DBT209" s="28"/>
      <c r="DBU209" s="28"/>
      <c r="DBV209" s="28"/>
      <c r="DBW209" s="28"/>
      <c r="DBX209" s="28"/>
      <c r="DBY209" s="28"/>
      <c r="DBZ209" s="28"/>
      <c r="DCA209" s="28"/>
      <c r="DCB209" s="28"/>
      <c r="DCC209" s="28"/>
      <c r="DCD209" s="28"/>
      <c r="DCE209" s="28"/>
      <c r="DCF209" s="28"/>
      <c r="DCG209" s="28"/>
      <c r="DCH209" s="28"/>
      <c r="DCI209" s="28"/>
      <c r="DCJ209" s="28"/>
      <c r="DCK209" s="28"/>
      <c r="DCL209" s="28"/>
      <c r="DCM209" s="28"/>
      <c r="DCN209" s="28"/>
      <c r="DCO209" s="28"/>
      <c r="DCP209" s="28"/>
      <c r="DCQ209" s="28"/>
      <c r="DCR209" s="28"/>
      <c r="DCS209" s="28"/>
      <c r="DCT209" s="28"/>
      <c r="DCU209" s="28"/>
      <c r="DCV209" s="28"/>
      <c r="DCW209" s="28"/>
      <c r="DCX209" s="28"/>
      <c r="DCY209" s="28"/>
      <c r="DCZ209" s="28"/>
      <c r="DDA209" s="28"/>
      <c r="DDB209" s="28"/>
      <c r="DDC209" s="28"/>
      <c r="DDD209" s="28"/>
      <c r="DDE209" s="28"/>
      <c r="DDF209" s="28"/>
      <c r="DDG209" s="28"/>
      <c r="DDH209" s="28"/>
      <c r="DDI209" s="28"/>
      <c r="DDJ209" s="28"/>
      <c r="DDK209" s="28"/>
      <c r="DDL209" s="28"/>
      <c r="DDM209" s="28"/>
      <c r="DDN209" s="28"/>
      <c r="DDO209" s="28"/>
      <c r="DDP209" s="28"/>
      <c r="DDQ209" s="28"/>
      <c r="DDR209" s="28"/>
      <c r="DDS209" s="28"/>
      <c r="DDT209" s="28"/>
      <c r="DDU209" s="28"/>
      <c r="DDV209" s="28"/>
      <c r="DDW209" s="28"/>
      <c r="DDX209" s="28"/>
      <c r="DDY209" s="28"/>
      <c r="DDZ209" s="28"/>
      <c r="DEA209" s="28"/>
      <c r="DEB209" s="28"/>
      <c r="DEC209" s="28"/>
      <c r="DED209" s="28"/>
      <c r="DEE209" s="28"/>
      <c r="DEF209" s="28"/>
      <c r="DEG209" s="28"/>
      <c r="DEH209" s="28"/>
      <c r="DEI209" s="28"/>
      <c r="DEJ209" s="28"/>
      <c r="DEK209" s="28"/>
      <c r="DEL209" s="28"/>
      <c r="DEM209" s="28"/>
      <c r="DEN209" s="28"/>
      <c r="DEO209" s="28"/>
      <c r="DEP209" s="28"/>
      <c r="DEQ209" s="28"/>
      <c r="DER209" s="28"/>
      <c r="DES209" s="28"/>
      <c r="DET209" s="28"/>
      <c r="DEU209" s="28"/>
      <c r="DEV209" s="28"/>
      <c r="DEW209" s="28"/>
      <c r="DEX209" s="28"/>
      <c r="DEY209" s="28"/>
      <c r="DEZ209" s="28"/>
      <c r="DFA209" s="28"/>
      <c r="DFB209" s="28"/>
      <c r="DFC209" s="28"/>
      <c r="DFD209" s="28"/>
      <c r="DFE209" s="28"/>
      <c r="DFF209" s="28"/>
      <c r="DFG209" s="28"/>
      <c r="DFH209" s="28"/>
      <c r="DFI209" s="28"/>
      <c r="DFJ209" s="28"/>
      <c r="DFK209" s="28"/>
      <c r="DFL209" s="28"/>
      <c r="DFM209" s="28"/>
      <c r="DFN209" s="28"/>
      <c r="DFO209" s="28"/>
      <c r="DFP209" s="28"/>
      <c r="DFQ209" s="28"/>
      <c r="DFR209" s="28"/>
      <c r="DFS209" s="28"/>
      <c r="DFT209" s="28"/>
      <c r="DFU209" s="28"/>
      <c r="DFV209" s="28"/>
      <c r="DFW209" s="28"/>
      <c r="DFX209" s="28"/>
      <c r="DFY209" s="28"/>
      <c r="DFZ209" s="28"/>
      <c r="DGA209" s="28"/>
      <c r="DGB209" s="28"/>
      <c r="DGC209" s="28"/>
      <c r="DGD209" s="28"/>
      <c r="DGE209" s="28"/>
      <c r="DGF209" s="28"/>
      <c r="DGG209" s="28"/>
      <c r="DGH209" s="28"/>
      <c r="DGI209" s="28"/>
      <c r="DGJ209" s="28"/>
      <c r="DGK209" s="28"/>
      <c r="DGL209" s="28"/>
      <c r="DGM209" s="28"/>
      <c r="DGN209" s="28"/>
      <c r="DGO209" s="28"/>
      <c r="DGP209" s="28"/>
      <c r="DGQ209" s="28"/>
      <c r="DGR209" s="28"/>
      <c r="DGS209" s="28"/>
      <c r="DGT209" s="28"/>
      <c r="DGU209" s="28"/>
      <c r="DGV209" s="28"/>
      <c r="DGW209" s="28"/>
      <c r="DGX209" s="28"/>
      <c r="DGY209" s="28"/>
      <c r="DGZ209" s="28"/>
      <c r="DHA209" s="28"/>
      <c r="DHB209" s="28"/>
      <c r="DHC209" s="28"/>
      <c r="DHD209" s="28"/>
      <c r="DHE209" s="28"/>
      <c r="DHF209" s="28"/>
      <c r="DHG209" s="28"/>
      <c r="DHH209" s="28"/>
      <c r="DHI209" s="28"/>
      <c r="DHJ209" s="28"/>
      <c r="DHK209" s="28"/>
      <c r="DHL209" s="28"/>
      <c r="DHM209" s="28"/>
      <c r="DHN209" s="28"/>
      <c r="DHO209" s="28"/>
      <c r="DHP209" s="28"/>
      <c r="DHQ209" s="28"/>
      <c r="DHR209" s="28"/>
      <c r="DHS209" s="28"/>
      <c r="DHT209" s="28"/>
      <c r="DHU209" s="28"/>
      <c r="DHV209" s="28"/>
      <c r="DHW209" s="28"/>
      <c r="DHX209" s="28"/>
      <c r="DHY209" s="28"/>
      <c r="DHZ209" s="28"/>
      <c r="DIA209" s="28"/>
      <c r="DIB209" s="28"/>
      <c r="DIC209" s="28"/>
      <c r="DID209" s="28"/>
      <c r="DIE209" s="28"/>
      <c r="DIF209" s="28"/>
      <c r="DIG209" s="28"/>
      <c r="DIH209" s="28"/>
      <c r="DII209" s="28"/>
      <c r="DIJ209" s="28"/>
      <c r="DIK209" s="28"/>
      <c r="DIL209" s="28"/>
      <c r="DIM209" s="28"/>
      <c r="DIN209" s="28"/>
      <c r="DIO209" s="28"/>
      <c r="DIP209" s="28"/>
      <c r="DIQ209" s="28"/>
      <c r="DIR209" s="28"/>
      <c r="DIS209" s="28"/>
      <c r="DIT209" s="28"/>
      <c r="DIU209" s="28"/>
      <c r="DIV209" s="28"/>
      <c r="DIW209" s="28"/>
      <c r="DIX209" s="28"/>
      <c r="DIY209" s="28"/>
      <c r="DIZ209" s="28"/>
      <c r="DJA209" s="28"/>
      <c r="DJB209" s="28"/>
      <c r="DJC209" s="28"/>
      <c r="DJD209" s="28"/>
      <c r="DJE209" s="28"/>
      <c r="DJF209" s="28"/>
      <c r="DJG209" s="28"/>
      <c r="DJH209" s="28"/>
      <c r="DJI209" s="28"/>
      <c r="DJJ209" s="28"/>
      <c r="DJK209" s="28"/>
      <c r="DJL209" s="28"/>
      <c r="DJM209" s="28"/>
      <c r="DJN209" s="28"/>
      <c r="DJO209" s="28"/>
      <c r="DJP209" s="28"/>
      <c r="DJQ209" s="28"/>
      <c r="DJR209" s="28"/>
      <c r="DJS209" s="28"/>
      <c r="DJT209" s="28"/>
      <c r="DJU209" s="28"/>
      <c r="DJV209" s="28"/>
      <c r="DJW209" s="28"/>
      <c r="DJX209" s="28"/>
      <c r="DJY209" s="28"/>
      <c r="DJZ209" s="28"/>
      <c r="DKA209" s="28"/>
      <c r="DKB209" s="28"/>
      <c r="DKC209" s="28"/>
      <c r="DKD209" s="28"/>
      <c r="DKE209" s="28"/>
      <c r="DKF209" s="28"/>
      <c r="DKG209" s="28"/>
      <c r="DKH209" s="28"/>
      <c r="DKI209" s="28"/>
      <c r="DKJ209" s="28"/>
      <c r="DKK209" s="28"/>
      <c r="DKL209" s="28"/>
      <c r="DKM209" s="28"/>
      <c r="DKN209" s="28"/>
      <c r="DKO209" s="28"/>
      <c r="DKP209" s="28"/>
      <c r="DKQ209" s="28"/>
      <c r="DKR209" s="28"/>
      <c r="DKS209" s="28"/>
      <c r="DKT209" s="28"/>
      <c r="DKU209" s="28"/>
      <c r="DKV209" s="28"/>
      <c r="DKW209" s="28"/>
      <c r="DKX209" s="28"/>
      <c r="DKY209" s="28"/>
      <c r="DKZ209" s="28"/>
      <c r="DLA209" s="28"/>
      <c r="DLB209" s="28"/>
      <c r="DLC209" s="28"/>
      <c r="DLD209" s="28"/>
      <c r="DLE209" s="28"/>
      <c r="DLF209" s="28"/>
      <c r="DLG209" s="28"/>
      <c r="DLH209" s="28"/>
      <c r="DLI209" s="28"/>
      <c r="DLJ209" s="28"/>
      <c r="DLK209" s="28"/>
      <c r="DLL209" s="28"/>
      <c r="DLM209" s="28"/>
      <c r="DLN209" s="28"/>
      <c r="DLO209" s="28"/>
      <c r="DLP209" s="28"/>
      <c r="DLQ209" s="28"/>
      <c r="DLR209" s="28"/>
      <c r="DLS209" s="28"/>
      <c r="DLT209" s="28"/>
      <c r="DLU209" s="28"/>
      <c r="DLV209" s="28"/>
      <c r="DLW209" s="28"/>
      <c r="DLX209" s="28"/>
      <c r="DLY209" s="28"/>
      <c r="DLZ209" s="28"/>
      <c r="DMA209" s="28"/>
      <c r="DMB209" s="28"/>
      <c r="DMC209" s="28"/>
      <c r="DMD209" s="28"/>
      <c r="DME209" s="28"/>
      <c r="DMF209" s="28"/>
      <c r="DMG209" s="28"/>
      <c r="DMH209" s="28"/>
      <c r="DMI209" s="28"/>
      <c r="DMJ209" s="28"/>
      <c r="DMK209" s="28"/>
      <c r="DML209" s="28"/>
      <c r="DMM209" s="28"/>
      <c r="DMN209" s="28"/>
      <c r="DMO209" s="28"/>
      <c r="DMP209" s="28"/>
      <c r="DMQ209" s="28"/>
      <c r="DMR209" s="28"/>
      <c r="DMS209" s="28"/>
      <c r="DMT209" s="28"/>
      <c r="DMU209" s="28"/>
      <c r="DMV209" s="28"/>
      <c r="DMW209" s="28"/>
      <c r="DMX209" s="28"/>
      <c r="DMY209" s="28"/>
      <c r="DMZ209" s="28"/>
      <c r="DNA209" s="28"/>
      <c r="DNB209" s="28"/>
      <c r="DNC209" s="28"/>
      <c r="DND209" s="28"/>
      <c r="DNE209" s="28"/>
      <c r="DNF209" s="28"/>
      <c r="DNG209" s="28"/>
      <c r="DNH209" s="28"/>
      <c r="DNI209" s="28"/>
      <c r="DNJ209" s="28"/>
      <c r="DNK209" s="28"/>
      <c r="DNL209" s="28"/>
      <c r="DNM209" s="28"/>
      <c r="DNN209" s="28"/>
      <c r="DNO209" s="28"/>
      <c r="DNP209" s="28"/>
      <c r="DNQ209" s="28"/>
      <c r="DNR209" s="28"/>
      <c r="DNS209" s="28"/>
      <c r="DNT209" s="28"/>
      <c r="DNU209" s="28"/>
      <c r="DNV209" s="28"/>
      <c r="DNW209" s="28"/>
      <c r="DNX209" s="28"/>
      <c r="DNY209" s="28"/>
      <c r="DNZ209" s="28"/>
      <c r="DOA209" s="28"/>
      <c r="DOB209" s="28"/>
      <c r="DOC209" s="28"/>
      <c r="DOD209" s="28"/>
      <c r="DOE209" s="28"/>
      <c r="DOF209" s="28"/>
      <c r="DOG209" s="28"/>
      <c r="DOH209" s="28"/>
      <c r="DOI209" s="28"/>
      <c r="DOJ209" s="28"/>
      <c r="DOK209" s="28"/>
      <c r="DOL209" s="28"/>
      <c r="DOM209" s="28"/>
      <c r="DON209" s="28"/>
      <c r="DOO209" s="28"/>
      <c r="DOP209" s="28"/>
      <c r="DOQ209" s="28"/>
      <c r="DOR209" s="28"/>
      <c r="DOS209" s="28"/>
      <c r="DOT209" s="28"/>
      <c r="DOU209" s="28"/>
      <c r="DOV209" s="28"/>
      <c r="DOW209" s="28"/>
      <c r="DOX209" s="28"/>
      <c r="DOY209" s="28"/>
      <c r="DOZ209" s="28"/>
      <c r="DPA209" s="28"/>
      <c r="DPB209" s="28"/>
      <c r="DPC209" s="28"/>
      <c r="DPD209" s="28"/>
      <c r="DPE209" s="28"/>
      <c r="DPF209" s="28"/>
      <c r="DPG209" s="28"/>
      <c r="DPH209" s="28"/>
      <c r="DPI209" s="28"/>
      <c r="DPJ209" s="28"/>
      <c r="DPK209" s="28"/>
      <c r="DPL209" s="28"/>
      <c r="DPM209" s="28"/>
      <c r="DPN209" s="28"/>
      <c r="DPO209" s="28"/>
      <c r="DPP209" s="28"/>
      <c r="DPQ209" s="28"/>
      <c r="DPR209" s="28"/>
      <c r="DPS209" s="28"/>
      <c r="DPT209" s="28"/>
      <c r="DPU209" s="28"/>
      <c r="DPV209" s="28"/>
      <c r="DPW209" s="28"/>
      <c r="DPX209" s="28"/>
      <c r="DPY209" s="28"/>
      <c r="DPZ209" s="28"/>
      <c r="DQA209" s="28"/>
      <c r="DQB209" s="28"/>
      <c r="DQC209" s="28"/>
      <c r="DQD209" s="28"/>
      <c r="DQE209" s="28"/>
      <c r="DQF209" s="28"/>
      <c r="DQG209" s="28"/>
      <c r="DQH209" s="28"/>
      <c r="DQI209" s="28"/>
      <c r="DQJ209" s="28"/>
      <c r="DQK209" s="28"/>
      <c r="DQL209" s="28"/>
      <c r="DQM209" s="28"/>
      <c r="DQN209" s="28"/>
      <c r="DQO209" s="28"/>
      <c r="DQP209" s="28"/>
      <c r="DQQ209" s="28"/>
      <c r="DQR209" s="28"/>
      <c r="DQS209" s="28"/>
      <c r="DQT209" s="28"/>
      <c r="DQU209" s="28"/>
      <c r="DQV209" s="28"/>
      <c r="DQW209" s="28"/>
      <c r="DQX209" s="28"/>
      <c r="DQY209" s="28"/>
      <c r="DQZ209" s="28"/>
      <c r="DRA209" s="28"/>
      <c r="DRB209" s="28"/>
      <c r="DRC209" s="28"/>
      <c r="DRD209" s="28"/>
      <c r="DRE209" s="28"/>
      <c r="DRF209" s="28"/>
      <c r="DRG209" s="28"/>
      <c r="DRH209" s="28"/>
      <c r="DRI209" s="28"/>
      <c r="DRJ209" s="28"/>
      <c r="DRK209" s="28"/>
      <c r="DRL209" s="28"/>
      <c r="DRM209" s="28"/>
      <c r="DRN209" s="28"/>
      <c r="DRO209" s="28"/>
      <c r="DRP209" s="28"/>
      <c r="DRQ209" s="28"/>
      <c r="DRR209" s="28"/>
      <c r="DRS209" s="28"/>
      <c r="DRT209" s="28"/>
      <c r="DRU209" s="28"/>
      <c r="DRV209" s="28"/>
      <c r="DRW209" s="28"/>
      <c r="DRX209" s="28"/>
      <c r="DRY209" s="28"/>
      <c r="DRZ209" s="28"/>
      <c r="DSA209" s="28"/>
      <c r="DSB209" s="28"/>
      <c r="DSC209" s="28"/>
      <c r="DSD209" s="28"/>
      <c r="DSE209" s="28"/>
      <c r="DSF209" s="28"/>
      <c r="DSG209" s="28"/>
      <c r="DSH209" s="28"/>
      <c r="DSI209" s="28"/>
      <c r="DSJ209" s="28"/>
      <c r="DSK209" s="28"/>
      <c r="DSL209" s="28"/>
      <c r="DSM209" s="28"/>
      <c r="DSN209" s="28"/>
      <c r="DSO209" s="28"/>
      <c r="DSP209" s="28"/>
      <c r="DSQ209" s="28"/>
      <c r="DSR209" s="28"/>
      <c r="DSS209" s="28"/>
      <c r="DST209" s="28"/>
      <c r="DSU209" s="28"/>
      <c r="DSV209" s="28"/>
      <c r="DSW209" s="28"/>
      <c r="DSX209" s="28"/>
      <c r="DSY209" s="28"/>
      <c r="DSZ209" s="28"/>
      <c r="DTA209" s="28"/>
      <c r="DTB209" s="28"/>
      <c r="DTC209" s="28"/>
      <c r="DTD209" s="28"/>
      <c r="DTE209" s="28"/>
      <c r="DTF209" s="28"/>
      <c r="DTG209" s="28"/>
      <c r="DTH209" s="28"/>
      <c r="DTI209" s="28"/>
      <c r="DTJ209" s="28"/>
      <c r="DTK209" s="28"/>
      <c r="DTL209" s="28"/>
      <c r="DTM209" s="28"/>
      <c r="DTN209" s="28"/>
      <c r="DTO209" s="28"/>
      <c r="DTP209" s="28"/>
      <c r="DTQ209" s="28"/>
      <c r="DTR209" s="28"/>
      <c r="DTS209" s="28"/>
      <c r="DTT209" s="28"/>
      <c r="DTU209" s="28"/>
      <c r="DTV209" s="28"/>
      <c r="DTW209" s="28"/>
      <c r="DTX209" s="28"/>
      <c r="DTY209" s="28"/>
      <c r="DTZ209" s="28"/>
      <c r="DUA209" s="28"/>
      <c r="DUB209" s="28"/>
      <c r="DUC209" s="28"/>
      <c r="DUD209" s="28"/>
      <c r="DUE209" s="28"/>
      <c r="DUF209" s="28"/>
      <c r="DUG209" s="28"/>
      <c r="DUH209" s="28"/>
      <c r="DUI209" s="28"/>
      <c r="DUJ209" s="28"/>
      <c r="DUK209" s="28"/>
      <c r="DUL209" s="28"/>
      <c r="DUM209" s="28"/>
      <c r="DUN209" s="28"/>
      <c r="DUO209" s="28"/>
      <c r="DUP209" s="28"/>
      <c r="DUQ209" s="28"/>
      <c r="DUR209" s="28"/>
      <c r="DUS209" s="28"/>
      <c r="DUT209" s="28"/>
      <c r="DUU209" s="28"/>
      <c r="DUV209" s="28"/>
      <c r="DUW209" s="28"/>
      <c r="DUX209" s="28"/>
      <c r="DUY209" s="28"/>
      <c r="DUZ209" s="28"/>
      <c r="DVA209" s="28"/>
      <c r="DVB209" s="28"/>
      <c r="DVC209" s="28"/>
      <c r="DVD209" s="28"/>
      <c r="DVE209" s="28"/>
      <c r="DVF209" s="28"/>
      <c r="DVG209" s="28"/>
      <c r="DVH209" s="28"/>
      <c r="DVI209" s="28"/>
      <c r="DVJ209" s="28"/>
      <c r="DVK209" s="28"/>
      <c r="DVL209" s="28"/>
      <c r="DVM209" s="28"/>
      <c r="DVN209" s="28"/>
      <c r="DVO209" s="28"/>
      <c r="DVP209" s="28"/>
      <c r="DVQ209" s="28"/>
      <c r="DVR209" s="28"/>
      <c r="DVS209" s="28"/>
      <c r="DVT209" s="28"/>
      <c r="DVU209" s="28"/>
      <c r="DVV209" s="28"/>
      <c r="DVW209" s="28"/>
      <c r="DVX209" s="28"/>
      <c r="DVY209" s="28"/>
      <c r="DVZ209" s="28"/>
      <c r="DWA209" s="28"/>
      <c r="DWB209" s="28"/>
      <c r="DWC209" s="28"/>
      <c r="DWD209" s="28"/>
      <c r="DWE209" s="28"/>
      <c r="DWF209" s="28"/>
      <c r="DWG209" s="28"/>
      <c r="DWH209" s="28"/>
      <c r="DWI209" s="28"/>
      <c r="DWJ209" s="28"/>
      <c r="DWK209" s="28"/>
      <c r="DWL209" s="28"/>
      <c r="DWM209" s="28"/>
      <c r="DWN209" s="28"/>
      <c r="DWO209" s="28"/>
      <c r="DWP209" s="28"/>
      <c r="DWQ209" s="28"/>
      <c r="DWR209" s="28"/>
      <c r="DWS209" s="28"/>
      <c r="DWT209" s="28"/>
      <c r="DWU209" s="28"/>
      <c r="DWV209" s="28"/>
      <c r="DWW209" s="28"/>
      <c r="DWX209" s="28"/>
      <c r="DWY209" s="28"/>
      <c r="DWZ209" s="28"/>
      <c r="DXA209" s="28"/>
      <c r="DXB209" s="28"/>
      <c r="DXC209" s="28"/>
      <c r="DXD209" s="28"/>
      <c r="DXE209" s="28"/>
      <c r="DXF209" s="28"/>
      <c r="DXG209" s="28"/>
      <c r="DXH209" s="28"/>
      <c r="DXI209" s="28"/>
      <c r="DXJ209" s="28"/>
      <c r="DXK209" s="28"/>
      <c r="DXL209" s="28"/>
      <c r="DXM209" s="28"/>
      <c r="DXN209" s="28"/>
      <c r="DXO209" s="28"/>
      <c r="DXP209" s="28"/>
      <c r="DXQ209" s="28"/>
      <c r="DXR209" s="28"/>
      <c r="DXS209" s="28"/>
      <c r="DXT209" s="28"/>
      <c r="DXU209" s="28"/>
      <c r="DXV209" s="28"/>
      <c r="DXW209" s="28"/>
      <c r="DXX209" s="28"/>
      <c r="DXY209" s="28"/>
      <c r="DXZ209" s="28"/>
      <c r="DYA209" s="28"/>
      <c r="DYB209" s="28"/>
      <c r="DYC209" s="28"/>
      <c r="DYD209" s="28"/>
      <c r="DYE209" s="28"/>
      <c r="DYF209" s="28"/>
      <c r="DYG209" s="28"/>
      <c r="DYH209" s="28"/>
      <c r="DYI209" s="28"/>
      <c r="DYJ209" s="28"/>
      <c r="DYK209" s="28"/>
      <c r="DYL209" s="28"/>
      <c r="DYM209" s="28"/>
      <c r="DYN209" s="28"/>
      <c r="DYO209" s="28"/>
      <c r="DYP209" s="28"/>
      <c r="DYQ209" s="28"/>
      <c r="DYR209" s="28"/>
      <c r="DYS209" s="28"/>
      <c r="DYT209" s="28"/>
      <c r="DYU209" s="28"/>
      <c r="DYV209" s="28"/>
      <c r="DYW209" s="28"/>
      <c r="DYX209" s="28"/>
      <c r="DYY209" s="28"/>
      <c r="DYZ209" s="28"/>
      <c r="DZA209" s="28"/>
      <c r="DZB209" s="28"/>
      <c r="DZC209" s="28"/>
      <c r="DZD209" s="28"/>
      <c r="DZE209" s="28"/>
      <c r="DZF209" s="28"/>
      <c r="DZG209" s="28"/>
      <c r="DZH209" s="28"/>
      <c r="DZI209" s="28"/>
      <c r="DZJ209" s="28"/>
      <c r="DZK209" s="28"/>
      <c r="DZL209" s="28"/>
      <c r="DZM209" s="28"/>
      <c r="DZN209" s="28"/>
      <c r="DZO209" s="28"/>
      <c r="DZP209" s="28"/>
      <c r="DZQ209" s="28"/>
      <c r="DZR209" s="28"/>
      <c r="DZS209" s="28"/>
      <c r="DZT209" s="28"/>
      <c r="DZU209" s="28"/>
      <c r="DZV209" s="28"/>
      <c r="DZW209" s="28"/>
      <c r="DZX209" s="28"/>
      <c r="DZY209" s="28"/>
      <c r="DZZ209" s="28"/>
      <c r="EAA209" s="28"/>
      <c r="EAB209" s="28"/>
      <c r="EAC209" s="28"/>
      <c r="EAD209" s="28"/>
      <c r="EAE209" s="28"/>
      <c r="EAF209" s="28"/>
      <c r="EAG209" s="28"/>
      <c r="EAH209" s="28"/>
      <c r="EAI209" s="28"/>
      <c r="EAJ209" s="28"/>
      <c r="EAK209" s="28"/>
      <c r="EAL209" s="28"/>
      <c r="EAM209" s="28"/>
      <c r="EAN209" s="28"/>
      <c r="EAO209" s="28"/>
      <c r="EAP209" s="28"/>
      <c r="EAQ209" s="28"/>
      <c r="EAR209" s="28"/>
      <c r="EAS209" s="28"/>
      <c r="EAT209" s="28"/>
      <c r="EAU209" s="28"/>
      <c r="EAV209" s="28"/>
      <c r="EAW209" s="28"/>
      <c r="EAX209" s="28"/>
      <c r="EAY209" s="28"/>
      <c r="EAZ209" s="28"/>
      <c r="EBA209" s="28"/>
      <c r="EBB209" s="28"/>
      <c r="EBC209" s="28"/>
      <c r="EBD209" s="28"/>
      <c r="EBE209" s="28"/>
      <c r="EBF209" s="28"/>
      <c r="EBG209" s="28"/>
      <c r="EBH209" s="28"/>
      <c r="EBI209" s="28"/>
      <c r="EBJ209" s="28"/>
      <c r="EBK209" s="28"/>
      <c r="EBL209" s="28"/>
      <c r="EBM209" s="28"/>
      <c r="EBN209" s="28"/>
      <c r="EBO209" s="28"/>
      <c r="EBP209" s="28"/>
      <c r="EBQ209" s="28"/>
      <c r="EBR209" s="28"/>
      <c r="EBS209" s="28"/>
      <c r="EBT209" s="28"/>
      <c r="EBU209" s="28"/>
      <c r="EBV209" s="28"/>
      <c r="EBW209" s="28"/>
      <c r="EBX209" s="28"/>
      <c r="EBY209" s="28"/>
      <c r="EBZ209" s="28"/>
      <c r="ECA209" s="28"/>
      <c r="ECB209" s="28"/>
      <c r="ECC209" s="28"/>
      <c r="ECD209" s="28"/>
      <c r="ECE209" s="28"/>
      <c r="ECF209" s="28"/>
      <c r="ECG209" s="28"/>
      <c r="ECH209" s="28"/>
      <c r="ECI209" s="28"/>
      <c r="ECJ209" s="28"/>
      <c r="ECK209" s="28"/>
      <c r="ECL209" s="28"/>
      <c r="ECM209" s="28"/>
      <c r="ECN209" s="28"/>
      <c r="ECO209" s="28"/>
      <c r="ECP209" s="28"/>
      <c r="ECQ209" s="28"/>
      <c r="ECR209" s="28"/>
      <c r="ECS209" s="28"/>
      <c r="ECT209" s="28"/>
      <c r="ECU209" s="28"/>
      <c r="ECV209" s="28"/>
      <c r="ECW209" s="28"/>
      <c r="ECX209" s="28"/>
      <c r="ECY209" s="28"/>
      <c r="ECZ209" s="28"/>
      <c r="EDA209" s="28"/>
      <c r="EDB209" s="28"/>
      <c r="EDC209" s="28"/>
      <c r="EDD209" s="28"/>
      <c r="EDE209" s="28"/>
      <c r="EDF209" s="28"/>
      <c r="EDG209" s="28"/>
      <c r="EDH209" s="28"/>
      <c r="EDI209" s="28"/>
      <c r="EDJ209" s="28"/>
      <c r="EDK209" s="28"/>
      <c r="EDL209" s="28"/>
      <c r="EDM209" s="28"/>
      <c r="EDN209" s="28"/>
      <c r="EDO209" s="28"/>
      <c r="EDP209" s="28"/>
      <c r="EDQ209" s="28"/>
      <c r="EDR209" s="28"/>
      <c r="EDS209" s="28"/>
      <c r="EDT209" s="28"/>
      <c r="EDU209" s="28"/>
      <c r="EDV209" s="28"/>
      <c r="EDW209" s="28"/>
      <c r="EDX209" s="28"/>
      <c r="EDY209" s="28"/>
      <c r="EDZ209" s="28"/>
      <c r="EEA209" s="28"/>
      <c r="EEB209" s="28"/>
      <c r="EEC209" s="28"/>
      <c r="EED209" s="28"/>
      <c r="EEE209" s="28"/>
      <c r="EEF209" s="28"/>
      <c r="EEG209" s="28"/>
      <c r="EEH209" s="28"/>
      <c r="EEI209" s="28"/>
      <c r="EEJ209" s="28"/>
      <c r="EEK209" s="28"/>
      <c r="EEL209" s="28"/>
      <c r="EEM209" s="28"/>
      <c r="EEN209" s="28"/>
      <c r="EEO209" s="28"/>
      <c r="EEP209" s="28"/>
      <c r="EEQ209" s="28"/>
      <c r="EER209" s="28"/>
      <c r="EES209" s="28"/>
      <c r="EET209" s="28"/>
      <c r="EEU209" s="28"/>
      <c r="EEV209" s="28"/>
      <c r="EEW209" s="28"/>
      <c r="EEX209" s="28"/>
      <c r="EEY209" s="28"/>
      <c r="EEZ209" s="28"/>
      <c r="EFA209" s="28"/>
      <c r="EFB209" s="28"/>
      <c r="EFC209" s="28"/>
      <c r="EFD209" s="28"/>
      <c r="EFE209" s="28"/>
      <c r="EFF209" s="28"/>
      <c r="EFG209" s="28"/>
      <c r="EFH209" s="28"/>
      <c r="EFI209" s="28"/>
      <c r="EFJ209" s="28"/>
      <c r="EFK209" s="28"/>
      <c r="EFL209" s="28"/>
      <c r="EFM209" s="28"/>
      <c r="EFN209" s="28"/>
      <c r="EFO209" s="28"/>
      <c r="EFP209" s="28"/>
      <c r="EFQ209" s="28"/>
      <c r="EFR209" s="28"/>
      <c r="EFS209" s="28"/>
      <c r="EFT209" s="28"/>
      <c r="EFU209" s="28"/>
      <c r="EFV209" s="28"/>
      <c r="EFW209" s="28"/>
      <c r="EFX209" s="28"/>
      <c r="EFY209" s="28"/>
      <c r="EFZ209" s="28"/>
      <c r="EGA209" s="28"/>
      <c r="EGB209" s="28"/>
      <c r="EGC209" s="28"/>
      <c r="EGD209" s="28"/>
      <c r="EGE209" s="28"/>
      <c r="EGF209" s="28"/>
      <c r="EGG209" s="28"/>
      <c r="EGH209" s="28"/>
      <c r="EGI209" s="28"/>
      <c r="EGJ209" s="28"/>
      <c r="EGK209" s="28"/>
      <c r="EGL209" s="28"/>
      <c r="EGM209" s="28"/>
      <c r="EGN209" s="28"/>
      <c r="EGO209" s="28"/>
      <c r="EGP209" s="28"/>
      <c r="EGQ209" s="28"/>
      <c r="EGR209" s="28"/>
      <c r="EGS209" s="28"/>
      <c r="EGT209" s="28"/>
      <c r="EGU209" s="28"/>
      <c r="EGV209" s="28"/>
      <c r="EGW209" s="28"/>
      <c r="EGX209" s="28"/>
      <c r="EGY209" s="28"/>
      <c r="EGZ209" s="28"/>
      <c r="EHA209" s="28"/>
      <c r="EHB209" s="28"/>
      <c r="EHC209" s="28"/>
      <c r="EHD209" s="28"/>
      <c r="EHE209" s="28"/>
      <c r="EHF209" s="28"/>
      <c r="EHG209" s="28"/>
      <c r="EHH209" s="28"/>
      <c r="EHI209" s="28"/>
      <c r="EHJ209" s="28"/>
      <c r="EHK209" s="28"/>
      <c r="EHL209" s="28"/>
      <c r="EHM209" s="28"/>
      <c r="EHN209" s="28"/>
      <c r="EHO209" s="28"/>
      <c r="EHP209" s="28"/>
      <c r="EHQ209" s="28"/>
      <c r="EHR209" s="28"/>
      <c r="EHS209" s="28"/>
      <c r="EHT209" s="28"/>
      <c r="EHU209" s="28"/>
      <c r="EHV209" s="28"/>
      <c r="EHW209" s="28"/>
      <c r="EHX209" s="28"/>
      <c r="EHY209" s="28"/>
      <c r="EHZ209" s="28"/>
      <c r="EIA209" s="28"/>
      <c r="EIB209" s="28"/>
      <c r="EIC209" s="28"/>
      <c r="EID209" s="28"/>
      <c r="EIE209" s="28"/>
      <c r="EIF209" s="28"/>
      <c r="EIG209" s="28"/>
      <c r="EIH209" s="28"/>
      <c r="EII209" s="28"/>
      <c r="EIJ209" s="28"/>
      <c r="EIK209" s="28"/>
      <c r="EIL209" s="28"/>
      <c r="EIM209" s="28"/>
      <c r="EIN209" s="28"/>
      <c r="EIO209" s="28"/>
      <c r="EIP209" s="28"/>
      <c r="EIQ209" s="28"/>
      <c r="EIR209" s="28"/>
      <c r="EIS209" s="28"/>
      <c r="EIT209" s="28"/>
      <c r="EIU209" s="28"/>
      <c r="EIV209" s="28"/>
      <c r="EIW209" s="28"/>
      <c r="EIX209" s="28"/>
      <c r="EIY209" s="28"/>
      <c r="EIZ209" s="28"/>
      <c r="EJA209" s="28"/>
      <c r="EJB209" s="28"/>
      <c r="EJC209" s="28"/>
      <c r="EJD209" s="28"/>
      <c r="EJE209" s="28"/>
      <c r="EJF209" s="28"/>
      <c r="EJG209" s="28"/>
      <c r="EJH209" s="28"/>
      <c r="EJI209" s="28"/>
      <c r="EJJ209" s="28"/>
      <c r="EJK209" s="28"/>
      <c r="EJL209" s="28"/>
      <c r="EJM209" s="28"/>
      <c r="EJN209" s="28"/>
      <c r="EJO209" s="28"/>
      <c r="EJP209" s="28"/>
      <c r="EJQ209" s="28"/>
      <c r="EJR209" s="28"/>
      <c r="EJS209" s="28"/>
      <c r="EJT209" s="28"/>
      <c r="EJU209" s="28"/>
      <c r="EJV209" s="28"/>
      <c r="EJW209" s="28"/>
      <c r="EJX209" s="28"/>
      <c r="EJY209" s="28"/>
      <c r="EJZ209" s="28"/>
      <c r="EKA209" s="28"/>
      <c r="EKB209" s="28"/>
      <c r="EKC209" s="28"/>
      <c r="EKD209" s="28"/>
      <c r="EKE209" s="28"/>
      <c r="EKF209" s="28"/>
      <c r="EKG209" s="28"/>
      <c r="EKH209" s="28"/>
      <c r="EKI209" s="28"/>
      <c r="EKJ209" s="28"/>
      <c r="EKK209" s="28"/>
      <c r="EKL209" s="28"/>
      <c r="EKM209" s="28"/>
      <c r="EKN209" s="28"/>
      <c r="EKO209" s="28"/>
      <c r="EKP209" s="28"/>
      <c r="EKQ209" s="28"/>
      <c r="EKR209" s="28"/>
      <c r="EKS209" s="28"/>
      <c r="EKT209" s="28"/>
      <c r="EKU209" s="28"/>
      <c r="EKV209" s="28"/>
      <c r="EKW209" s="28"/>
      <c r="EKX209" s="28"/>
      <c r="EKY209" s="28"/>
      <c r="EKZ209" s="28"/>
      <c r="ELA209" s="28"/>
      <c r="ELB209" s="28"/>
      <c r="ELC209" s="28"/>
      <c r="ELD209" s="28"/>
      <c r="ELE209" s="28"/>
      <c r="ELF209" s="28"/>
      <c r="ELG209" s="28"/>
      <c r="ELH209" s="28"/>
      <c r="ELI209" s="28"/>
      <c r="ELJ209" s="28"/>
      <c r="ELK209" s="28"/>
      <c r="ELL209" s="28"/>
      <c r="ELM209" s="28"/>
      <c r="ELN209" s="28"/>
      <c r="ELO209" s="28"/>
      <c r="ELP209" s="28"/>
      <c r="ELQ209" s="28"/>
      <c r="ELR209" s="28"/>
      <c r="ELS209" s="28"/>
      <c r="ELT209" s="28"/>
      <c r="ELU209" s="28"/>
      <c r="ELV209" s="28"/>
      <c r="ELW209" s="28"/>
      <c r="ELX209" s="28"/>
      <c r="ELY209" s="28"/>
      <c r="ELZ209" s="28"/>
      <c r="EMA209" s="28"/>
      <c r="EMB209" s="28"/>
      <c r="EMC209" s="28"/>
      <c r="EMD209" s="28"/>
      <c r="EME209" s="28"/>
      <c r="EMF209" s="28"/>
      <c r="EMG209" s="28"/>
      <c r="EMH209" s="28"/>
      <c r="EMI209" s="28"/>
      <c r="EMJ209" s="28"/>
      <c r="EMK209" s="28"/>
      <c r="EML209" s="28"/>
      <c r="EMM209" s="28"/>
      <c r="EMN209" s="28"/>
      <c r="EMO209" s="28"/>
      <c r="EMP209" s="28"/>
      <c r="EMQ209" s="28"/>
      <c r="EMR209" s="28"/>
      <c r="EMS209" s="28"/>
      <c r="EMT209" s="28"/>
      <c r="EMU209" s="28"/>
      <c r="EMV209" s="28"/>
      <c r="EMW209" s="28"/>
      <c r="EMX209" s="28"/>
      <c r="EMY209" s="28"/>
      <c r="EMZ209" s="28"/>
      <c r="ENA209" s="28"/>
      <c r="ENB209" s="28"/>
      <c r="ENC209" s="28"/>
      <c r="END209" s="28"/>
      <c r="ENE209" s="28"/>
      <c r="ENF209" s="28"/>
      <c r="ENG209" s="28"/>
      <c r="ENH209" s="28"/>
      <c r="ENI209" s="28"/>
      <c r="ENJ209" s="28"/>
      <c r="ENK209" s="28"/>
      <c r="ENL209" s="28"/>
      <c r="ENM209" s="28"/>
      <c r="ENN209" s="28"/>
      <c r="ENO209" s="28"/>
      <c r="ENP209" s="28"/>
      <c r="ENQ209" s="28"/>
      <c r="ENR209" s="28"/>
      <c r="ENS209" s="28"/>
      <c r="ENT209" s="28"/>
      <c r="ENU209" s="28"/>
      <c r="ENV209" s="28"/>
      <c r="ENW209" s="28"/>
      <c r="ENX209" s="28"/>
      <c r="ENY209" s="28"/>
      <c r="ENZ209" s="28"/>
      <c r="EOA209" s="28"/>
      <c r="EOB209" s="28"/>
      <c r="EOC209" s="28"/>
      <c r="EOD209" s="28"/>
      <c r="EOE209" s="28"/>
      <c r="EOF209" s="28"/>
      <c r="EOG209" s="28"/>
      <c r="EOH209" s="28"/>
      <c r="EOI209" s="28"/>
      <c r="EOJ209" s="28"/>
      <c r="EOK209" s="28"/>
      <c r="EOL209" s="28"/>
      <c r="EOM209" s="28"/>
      <c r="EON209" s="28"/>
      <c r="EOO209" s="28"/>
      <c r="EOP209" s="28"/>
      <c r="EOQ209" s="28"/>
      <c r="EOR209" s="28"/>
      <c r="EOS209" s="28"/>
      <c r="EOT209" s="28"/>
      <c r="EOU209" s="28"/>
      <c r="EOV209" s="28"/>
      <c r="EOW209" s="28"/>
      <c r="EOX209" s="28"/>
      <c r="EOY209" s="28"/>
      <c r="EOZ209" s="28"/>
      <c r="EPA209" s="28"/>
      <c r="EPB209" s="28"/>
      <c r="EPC209" s="28"/>
      <c r="EPD209" s="28"/>
      <c r="EPE209" s="28"/>
      <c r="EPF209" s="28"/>
      <c r="EPG209" s="28"/>
      <c r="EPH209" s="28"/>
      <c r="EPI209" s="28"/>
      <c r="EPJ209" s="28"/>
      <c r="EPK209" s="28"/>
      <c r="EPL209" s="28"/>
      <c r="EPM209" s="28"/>
      <c r="EPN209" s="28"/>
      <c r="EPO209" s="28"/>
      <c r="EPP209" s="28"/>
      <c r="EPQ209" s="28"/>
      <c r="EPR209" s="28"/>
      <c r="EPS209" s="28"/>
      <c r="EPT209" s="28"/>
      <c r="EPU209" s="28"/>
      <c r="EPV209" s="28"/>
      <c r="EPW209" s="28"/>
      <c r="EPX209" s="28"/>
      <c r="EPY209" s="28"/>
      <c r="EPZ209" s="28"/>
      <c r="EQA209" s="28"/>
      <c r="EQB209" s="28"/>
      <c r="EQC209" s="28"/>
      <c r="EQD209" s="28"/>
      <c r="EQE209" s="28"/>
      <c r="EQF209" s="28"/>
      <c r="EQG209" s="28"/>
      <c r="EQH209" s="28"/>
      <c r="EQI209" s="28"/>
      <c r="EQJ209" s="28"/>
      <c r="EQK209" s="28"/>
      <c r="EQL209" s="28"/>
      <c r="EQM209" s="28"/>
      <c r="EQN209" s="28"/>
      <c r="EQO209" s="28"/>
      <c r="EQP209" s="28"/>
      <c r="EQQ209" s="28"/>
      <c r="EQR209" s="28"/>
      <c r="EQS209" s="28"/>
      <c r="EQT209" s="28"/>
      <c r="EQU209" s="28"/>
      <c r="EQV209" s="28"/>
      <c r="EQW209" s="28"/>
      <c r="EQX209" s="28"/>
      <c r="EQY209" s="28"/>
      <c r="EQZ209" s="28"/>
      <c r="ERA209" s="28"/>
      <c r="ERB209" s="28"/>
      <c r="ERC209" s="28"/>
      <c r="ERD209" s="28"/>
      <c r="ERE209" s="28"/>
      <c r="ERF209" s="28"/>
      <c r="ERG209" s="28"/>
      <c r="ERH209" s="28"/>
      <c r="ERI209" s="28"/>
      <c r="ERJ209" s="28"/>
      <c r="ERK209" s="28"/>
      <c r="ERL209" s="28"/>
      <c r="ERM209" s="28"/>
      <c r="ERN209" s="28"/>
      <c r="ERO209" s="28"/>
      <c r="ERP209" s="28"/>
      <c r="ERQ209" s="28"/>
      <c r="ERR209" s="28"/>
      <c r="ERS209" s="28"/>
      <c r="ERT209" s="28"/>
      <c r="ERU209" s="28"/>
      <c r="ERV209" s="28"/>
      <c r="ERW209" s="28"/>
      <c r="ERX209" s="28"/>
      <c r="ERY209" s="28"/>
      <c r="ERZ209" s="28"/>
      <c r="ESA209" s="28"/>
      <c r="ESB209" s="28"/>
      <c r="ESC209" s="28"/>
      <c r="ESD209" s="28"/>
      <c r="ESE209" s="28"/>
      <c r="ESF209" s="28"/>
      <c r="ESG209" s="28"/>
      <c r="ESH209" s="28"/>
      <c r="ESI209" s="28"/>
      <c r="ESJ209" s="28"/>
      <c r="ESK209" s="28"/>
      <c r="ESL209" s="28"/>
      <c r="ESM209" s="28"/>
      <c r="ESN209" s="28"/>
      <c r="ESO209" s="28"/>
      <c r="ESP209" s="28"/>
      <c r="ESQ209" s="28"/>
      <c r="ESR209" s="28"/>
      <c r="ESS209" s="28"/>
      <c r="EST209" s="28"/>
      <c r="ESU209" s="28"/>
      <c r="ESV209" s="28"/>
      <c r="ESW209" s="28"/>
      <c r="ESX209" s="28"/>
      <c r="ESY209" s="28"/>
      <c r="ESZ209" s="28"/>
      <c r="ETA209" s="28"/>
      <c r="ETB209" s="28"/>
      <c r="ETC209" s="28"/>
      <c r="ETD209" s="28"/>
      <c r="ETE209" s="28"/>
      <c r="ETF209" s="28"/>
      <c r="ETG209" s="28"/>
      <c r="ETH209" s="28"/>
      <c r="ETI209" s="28"/>
      <c r="ETJ209" s="28"/>
      <c r="ETK209" s="28"/>
      <c r="ETL209" s="28"/>
      <c r="ETM209" s="28"/>
      <c r="ETN209" s="28"/>
      <c r="ETO209" s="28"/>
      <c r="ETP209" s="28"/>
      <c r="ETQ209" s="28"/>
      <c r="ETR209" s="28"/>
      <c r="ETS209" s="28"/>
      <c r="ETT209" s="28"/>
      <c r="ETU209" s="28"/>
      <c r="ETV209" s="28"/>
      <c r="ETW209" s="28"/>
      <c r="ETX209" s="28"/>
      <c r="ETY209" s="28"/>
      <c r="ETZ209" s="28"/>
      <c r="EUA209" s="28"/>
      <c r="EUB209" s="28"/>
      <c r="EUC209" s="28"/>
      <c r="EUD209" s="28"/>
      <c r="EUE209" s="28"/>
      <c r="EUF209" s="28"/>
      <c r="EUG209" s="28"/>
      <c r="EUH209" s="28"/>
      <c r="EUI209" s="28"/>
      <c r="EUJ209" s="28"/>
      <c r="EUK209" s="28"/>
      <c r="EUL209" s="28"/>
      <c r="EUM209" s="28"/>
      <c r="EUN209" s="28"/>
      <c r="EUO209" s="28"/>
      <c r="EUP209" s="28"/>
      <c r="EUQ209" s="28"/>
      <c r="EUR209" s="28"/>
      <c r="EUS209" s="28"/>
      <c r="EUT209" s="28"/>
      <c r="EUU209" s="28"/>
      <c r="EUV209" s="28"/>
      <c r="EUW209" s="28"/>
      <c r="EUX209" s="28"/>
      <c r="EUY209" s="28"/>
      <c r="EUZ209" s="28"/>
      <c r="EVA209" s="28"/>
      <c r="EVB209" s="28"/>
      <c r="EVC209" s="28"/>
      <c r="EVD209" s="28"/>
      <c r="EVE209" s="28"/>
      <c r="EVF209" s="28"/>
      <c r="EVG209" s="28"/>
      <c r="EVH209" s="28"/>
      <c r="EVI209" s="28"/>
      <c r="EVJ209" s="28"/>
      <c r="EVK209" s="28"/>
      <c r="EVL209" s="28"/>
      <c r="EVM209" s="28"/>
      <c r="EVN209" s="28"/>
      <c r="EVO209" s="28"/>
      <c r="EVP209" s="28"/>
      <c r="EVQ209" s="28"/>
      <c r="EVR209" s="28"/>
      <c r="EVS209" s="28"/>
      <c r="EVT209" s="28"/>
      <c r="EVU209" s="28"/>
      <c r="EVV209" s="28"/>
      <c r="EVW209" s="28"/>
      <c r="EVX209" s="28"/>
      <c r="EVY209" s="28"/>
      <c r="EVZ209" s="28"/>
      <c r="EWA209" s="28"/>
      <c r="EWB209" s="28"/>
      <c r="EWC209" s="28"/>
      <c r="EWD209" s="28"/>
      <c r="EWE209" s="28"/>
      <c r="EWF209" s="28"/>
      <c r="EWG209" s="28"/>
      <c r="EWH209" s="28"/>
      <c r="EWI209" s="28"/>
      <c r="EWJ209" s="28"/>
      <c r="EWK209" s="28"/>
      <c r="EWL209" s="28"/>
      <c r="EWM209" s="28"/>
      <c r="EWN209" s="28"/>
      <c r="EWO209" s="28"/>
      <c r="EWP209" s="28"/>
      <c r="EWQ209" s="28"/>
      <c r="EWR209" s="28"/>
      <c r="EWS209" s="28"/>
      <c r="EWT209" s="28"/>
      <c r="EWU209" s="28"/>
      <c r="EWV209" s="28"/>
      <c r="EWW209" s="28"/>
      <c r="EWX209" s="28"/>
      <c r="EWY209" s="28"/>
      <c r="EWZ209" s="28"/>
      <c r="EXA209" s="28"/>
      <c r="EXB209" s="28"/>
      <c r="EXC209" s="28"/>
      <c r="EXD209" s="28"/>
      <c r="EXE209" s="28"/>
      <c r="EXF209" s="28"/>
      <c r="EXG209" s="28"/>
      <c r="EXH209" s="28"/>
      <c r="EXI209" s="28"/>
      <c r="EXJ209" s="28"/>
      <c r="EXK209" s="28"/>
      <c r="EXL209" s="28"/>
      <c r="EXM209" s="28"/>
      <c r="EXN209" s="28"/>
      <c r="EXO209" s="28"/>
      <c r="EXP209" s="28"/>
      <c r="EXQ209" s="28"/>
      <c r="EXR209" s="28"/>
      <c r="EXS209" s="28"/>
      <c r="EXT209" s="28"/>
      <c r="EXU209" s="28"/>
      <c r="EXV209" s="28"/>
      <c r="EXW209" s="28"/>
      <c r="EXX209" s="28"/>
      <c r="EXY209" s="28"/>
      <c r="EXZ209" s="28"/>
      <c r="EYA209" s="28"/>
      <c r="EYB209" s="28"/>
      <c r="EYC209" s="28"/>
      <c r="EYD209" s="28"/>
      <c r="EYE209" s="28"/>
      <c r="EYF209" s="28"/>
      <c r="EYG209" s="28"/>
      <c r="EYH209" s="28"/>
      <c r="EYI209" s="28"/>
      <c r="EYJ209" s="28"/>
      <c r="EYK209" s="28"/>
      <c r="EYL209" s="28"/>
      <c r="EYM209" s="28"/>
      <c r="EYN209" s="28"/>
      <c r="EYO209" s="28"/>
      <c r="EYP209" s="28"/>
      <c r="EYQ209" s="28"/>
      <c r="EYR209" s="28"/>
      <c r="EYS209" s="28"/>
      <c r="EYT209" s="28"/>
      <c r="EYU209" s="28"/>
      <c r="EYV209" s="28"/>
      <c r="EYW209" s="28"/>
      <c r="EYX209" s="28"/>
      <c r="EYY209" s="28"/>
      <c r="EYZ209" s="28"/>
      <c r="EZA209" s="28"/>
      <c r="EZB209" s="28"/>
      <c r="EZC209" s="28"/>
      <c r="EZD209" s="28"/>
      <c r="EZE209" s="28"/>
      <c r="EZF209" s="28"/>
      <c r="EZG209" s="28"/>
      <c r="EZH209" s="28"/>
      <c r="EZI209" s="28"/>
      <c r="EZJ209" s="28"/>
      <c r="EZK209" s="28"/>
      <c r="EZL209" s="28"/>
      <c r="EZM209" s="28"/>
      <c r="EZN209" s="28"/>
      <c r="EZO209" s="28"/>
      <c r="EZP209" s="28"/>
      <c r="EZQ209" s="28"/>
      <c r="EZR209" s="28"/>
      <c r="EZS209" s="28"/>
      <c r="EZT209" s="28"/>
      <c r="EZU209" s="28"/>
      <c r="EZV209" s="28"/>
      <c r="EZW209" s="28"/>
      <c r="EZX209" s="28"/>
      <c r="EZY209" s="28"/>
      <c r="EZZ209" s="28"/>
      <c r="FAA209" s="28"/>
      <c r="FAB209" s="28"/>
      <c r="FAC209" s="28"/>
      <c r="FAD209" s="28"/>
      <c r="FAE209" s="28"/>
      <c r="FAF209" s="28"/>
      <c r="FAG209" s="28"/>
      <c r="FAH209" s="28"/>
      <c r="FAI209" s="28"/>
      <c r="FAJ209" s="28"/>
      <c r="FAK209" s="28"/>
      <c r="FAL209" s="28"/>
      <c r="FAM209" s="28"/>
      <c r="FAN209" s="28"/>
      <c r="FAO209" s="28"/>
      <c r="FAP209" s="28"/>
      <c r="FAQ209" s="28"/>
      <c r="FAR209" s="28"/>
      <c r="FAS209" s="28"/>
      <c r="FAT209" s="28"/>
      <c r="FAU209" s="28"/>
      <c r="FAV209" s="28"/>
      <c r="FAW209" s="28"/>
      <c r="FAX209" s="28"/>
      <c r="FAY209" s="28"/>
      <c r="FAZ209" s="28"/>
      <c r="FBA209" s="28"/>
      <c r="FBB209" s="28"/>
      <c r="FBC209" s="28"/>
      <c r="FBD209" s="28"/>
      <c r="FBE209" s="28"/>
      <c r="FBF209" s="28"/>
      <c r="FBG209" s="28"/>
      <c r="FBH209" s="28"/>
      <c r="FBI209" s="28"/>
      <c r="FBJ209" s="28"/>
      <c r="FBK209" s="28"/>
      <c r="FBL209" s="28"/>
      <c r="FBM209" s="28"/>
      <c r="FBN209" s="28"/>
      <c r="FBO209" s="28"/>
      <c r="FBP209" s="28"/>
      <c r="FBQ209" s="28"/>
      <c r="FBR209" s="28"/>
      <c r="FBS209" s="28"/>
      <c r="FBT209" s="28"/>
      <c r="FBU209" s="28"/>
      <c r="FBV209" s="28"/>
      <c r="FBW209" s="28"/>
      <c r="FBX209" s="28"/>
      <c r="FBY209" s="28"/>
      <c r="FBZ209" s="28"/>
      <c r="FCA209" s="28"/>
      <c r="FCB209" s="28"/>
      <c r="FCC209" s="28"/>
      <c r="FCD209" s="28"/>
      <c r="FCE209" s="28"/>
      <c r="FCF209" s="28"/>
      <c r="FCG209" s="28"/>
      <c r="FCH209" s="28"/>
      <c r="FCI209" s="28"/>
      <c r="FCJ209" s="28"/>
      <c r="FCK209" s="28"/>
      <c r="FCL209" s="28"/>
      <c r="FCM209" s="28"/>
      <c r="FCN209" s="28"/>
      <c r="FCO209" s="28"/>
      <c r="FCP209" s="28"/>
      <c r="FCQ209" s="28"/>
      <c r="FCR209" s="28"/>
      <c r="FCS209" s="28"/>
      <c r="FCT209" s="28"/>
      <c r="FCU209" s="28"/>
      <c r="FCV209" s="28"/>
      <c r="FCW209" s="28"/>
      <c r="FCX209" s="28"/>
      <c r="FCY209" s="28"/>
      <c r="FCZ209" s="28"/>
      <c r="FDA209" s="28"/>
      <c r="FDB209" s="28"/>
      <c r="FDC209" s="28"/>
      <c r="FDD209" s="28"/>
      <c r="FDE209" s="28"/>
      <c r="FDF209" s="28"/>
      <c r="FDG209" s="28"/>
      <c r="FDH209" s="28"/>
      <c r="FDI209" s="28"/>
      <c r="FDJ209" s="28"/>
      <c r="FDK209" s="28"/>
      <c r="FDL209" s="28"/>
      <c r="FDM209" s="28"/>
      <c r="FDN209" s="28"/>
      <c r="FDO209" s="28"/>
      <c r="FDP209" s="28"/>
      <c r="FDQ209" s="28"/>
      <c r="FDR209" s="28"/>
      <c r="FDS209" s="28"/>
      <c r="FDT209" s="28"/>
      <c r="FDU209" s="28"/>
      <c r="FDV209" s="28"/>
      <c r="FDW209" s="28"/>
      <c r="FDX209" s="28"/>
      <c r="FDY209" s="28"/>
      <c r="FDZ209" s="28"/>
      <c r="FEA209" s="28"/>
      <c r="FEB209" s="28"/>
      <c r="FEC209" s="28"/>
      <c r="FED209" s="28"/>
      <c r="FEE209" s="28"/>
      <c r="FEF209" s="28"/>
      <c r="FEG209" s="28"/>
      <c r="FEH209" s="28"/>
      <c r="FEI209" s="28"/>
      <c r="FEJ209" s="28"/>
      <c r="FEK209" s="28"/>
      <c r="FEL209" s="28"/>
      <c r="FEM209" s="28"/>
      <c r="FEN209" s="28"/>
      <c r="FEO209" s="28"/>
      <c r="FEP209" s="28"/>
      <c r="FEQ209" s="28"/>
      <c r="FER209" s="28"/>
      <c r="FES209" s="28"/>
      <c r="FET209" s="28"/>
      <c r="FEU209" s="28"/>
      <c r="FEV209" s="28"/>
      <c r="FEW209" s="28"/>
      <c r="FEX209" s="28"/>
      <c r="FEY209" s="28"/>
      <c r="FEZ209" s="28"/>
      <c r="FFA209" s="28"/>
      <c r="FFB209" s="28"/>
      <c r="FFC209" s="28"/>
      <c r="FFD209" s="28"/>
      <c r="FFE209" s="28"/>
      <c r="FFF209" s="28"/>
      <c r="FFG209" s="28"/>
      <c r="FFH209" s="28"/>
      <c r="FFI209" s="28"/>
      <c r="FFJ209" s="28"/>
      <c r="FFK209" s="28"/>
      <c r="FFL209" s="28"/>
      <c r="FFM209" s="28"/>
      <c r="FFN209" s="28"/>
      <c r="FFO209" s="28"/>
      <c r="FFP209" s="28"/>
      <c r="FFQ209" s="28"/>
      <c r="FFR209" s="28"/>
      <c r="FFS209" s="28"/>
      <c r="FFT209" s="28"/>
      <c r="FFU209" s="28"/>
      <c r="FFV209" s="28"/>
      <c r="FFW209" s="28"/>
      <c r="FFX209" s="28"/>
      <c r="FFY209" s="28"/>
      <c r="FFZ209" s="28"/>
      <c r="FGA209" s="28"/>
      <c r="FGB209" s="28"/>
      <c r="FGC209" s="28"/>
      <c r="FGD209" s="28"/>
      <c r="FGE209" s="28"/>
      <c r="FGF209" s="28"/>
      <c r="FGG209" s="28"/>
      <c r="FGH209" s="28"/>
      <c r="FGI209" s="28"/>
      <c r="FGJ209" s="28"/>
      <c r="FGK209" s="28"/>
      <c r="FGL209" s="28"/>
      <c r="FGM209" s="28"/>
      <c r="FGN209" s="28"/>
      <c r="FGO209" s="28"/>
      <c r="FGP209" s="28"/>
      <c r="FGQ209" s="28"/>
      <c r="FGR209" s="28"/>
      <c r="FGS209" s="28"/>
      <c r="FGT209" s="28"/>
      <c r="FGU209" s="28"/>
      <c r="FGV209" s="28"/>
      <c r="FGW209" s="28"/>
      <c r="FGX209" s="28"/>
      <c r="FGY209" s="28"/>
      <c r="FGZ209" s="28"/>
      <c r="FHA209" s="28"/>
      <c r="FHB209" s="28"/>
      <c r="FHC209" s="28"/>
      <c r="FHD209" s="28"/>
      <c r="FHE209" s="28"/>
      <c r="FHF209" s="28"/>
      <c r="FHG209" s="28"/>
      <c r="FHH209" s="28"/>
      <c r="FHI209" s="28"/>
      <c r="FHJ209" s="28"/>
      <c r="FHK209" s="28"/>
      <c r="FHL209" s="28"/>
      <c r="FHM209" s="28"/>
      <c r="FHN209" s="28"/>
      <c r="FHO209" s="28"/>
      <c r="FHP209" s="28"/>
      <c r="FHQ209" s="28"/>
      <c r="FHR209" s="28"/>
      <c r="FHS209" s="28"/>
      <c r="FHT209" s="28"/>
      <c r="FHU209" s="28"/>
      <c r="FHV209" s="28"/>
      <c r="FHW209" s="28"/>
      <c r="FHX209" s="28"/>
      <c r="FHY209" s="28"/>
      <c r="FHZ209" s="28"/>
      <c r="FIA209" s="28"/>
      <c r="FIB209" s="28"/>
      <c r="FIC209" s="28"/>
      <c r="FID209" s="28"/>
      <c r="FIE209" s="28"/>
      <c r="FIF209" s="28"/>
      <c r="FIG209" s="28"/>
      <c r="FIH209" s="28"/>
      <c r="FII209" s="28"/>
      <c r="FIJ209" s="28"/>
      <c r="FIK209" s="28"/>
      <c r="FIL209" s="28"/>
      <c r="FIM209" s="28"/>
      <c r="FIN209" s="28"/>
      <c r="FIO209" s="28"/>
      <c r="FIP209" s="28"/>
      <c r="FIQ209" s="28"/>
      <c r="FIR209" s="28"/>
      <c r="FIS209" s="28"/>
      <c r="FIT209" s="28"/>
      <c r="FIU209" s="28"/>
      <c r="FIV209" s="28"/>
      <c r="FIW209" s="28"/>
      <c r="FIX209" s="28"/>
      <c r="FIY209" s="28"/>
      <c r="FIZ209" s="28"/>
      <c r="FJA209" s="28"/>
      <c r="FJB209" s="28"/>
      <c r="FJC209" s="28"/>
      <c r="FJD209" s="28"/>
      <c r="FJE209" s="28"/>
      <c r="FJF209" s="28"/>
      <c r="FJG209" s="28"/>
      <c r="FJH209" s="28"/>
      <c r="FJI209" s="28"/>
      <c r="FJJ209" s="28"/>
      <c r="FJK209" s="28"/>
      <c r="FJL209" s="28"/>
      <c r="FJM209" s="28"/>
      <c r="FJN209" s="28"/>
      <c r="FJO209" s="28"/>
      <c r="FJP209" s="28"/>
      <c r="FJQ209" s="28"/>
      <c r="FJR209" s="28"/>
      <c r="FJS209" s="28"/>
      <c r="FJT209" s="28"/>
      <c r="FJU209" s="28"/>
      <c r="FJV209" s="28"/>
      <c r="FJW209" s="28"/>
      <c r="FJX209" s="28"/>
      <c r="FJY209" s="28"/>
      <c r="FJZ209" s="28"/>
      <c r="FKA209" s="28"/>
      <c r="FKB209" s="28"/>
      <c r="FKC209" s="28"/>
      <c r="FKD209" s="28"/>
      <c r="FKE209" s="28"/>
      <c r="FKF209" s="28"/>
      <c r="FKG209" s="28"/>
      <c r="FKH209" s="28"/>
      <c r="FKI209" s="28"/>
      <c r="FKJ209" s="28"/>
      <c r="FKK209" s="28"/>
      <c r="FKL209" s="28"/>
      <c r="FKM209" s="28"/>
      <c r="FKN209" s="28"/>
      <c r="FKO209" s="28"/>
      <c r="FKP209" s="28"/>
      <c r="FKQ209" s="28"/>
      <c r="FKR209" s="28"/>
      <c r="FKS209" s="28"/>
      <c r="FKT209" s="28"/>
      <c r="FKU209" s="28"/>
      <c r="FKV209" s="28"/>
      <c r="FKW209" s="28"/>
      <c r="FKX209" s="28"/>
      <c r="FKY209" s="28"/>
      <c r="FKZ209" s="28"/>
      <c r="FLA209" s="28"/>
      <c r="FLB209" s="28"/>
      <c r="FLC209" s="28"/>
      <c r="FLD209" s="28"/>
      <c r="FLE209" s="28"/>
      <c r="FLF209" s="28"/>
      <c r="FLG209" s="28"/>
      <c r="FLH209" s="28"/>
      <c r="FLI209" s="28"/>
      <c r="FLJ209" s="28"/>
      <c r="FLK209" s="28"/>
      <c r="FLL209" s="28"/>
      <c r="FLM209" s="28"/>
      <c r="FLN209" s="28"/>
      <c r="FLO209" s="28"/>
      <c r="FLP209" s="28"/>
      <c r="FLQ209" s="28"/>
      <c r="FLR209" s="28"/>
      <c r="FLS209" s="28"/>
      <c r="FLT209" s="28"/>
      <c r="FLU209" s="28"/>
      <c r="FLV209" s="28"/>
      <c r="FLW209" s="28"/>
      <c r="FLX209" s="28"/>
      <c r="FLY209" s="28"/>
      <c r="FLZ209" s="28"/>
      <c r="FMA209" s="28"/>
      <c r="FMB209" s="28"/>
      <c r="FMC209" s="28"/>
      <c r="FMD209" s="28"/>
      <c r="FME209" s="28"/>
      <c r="FMF209" s="28"/>
      <c r="FMG209" s="28"/>
      <c r="FMH209" s="28"/>
      <c r="FMI209" s="28"/>
      <c r="FMJ209" s="28"/>
      <c r="FMK209" s="28"/>
      <c r="FML209" s="28"/>
      <c r="FMM209" s="28"/>
      <c r="FMN209" s="28"/>
      <c r="FMO209" s="28"/>
      <c r="FMP209" s="28"/>
      <c r="FMQ209" s="28"/>
      <c r="FMR209" s="28"/>
      <c r="FMS209" s="28"/>
      <c r="FMT209" s="28"/>
      <c r="FMU209" s="28"/>
      <c r="FMV209" s="28"/>
      <c r="FMW209" s="28"/>
      <c r="FMX209" s="28"/>
      <c r="FMY209" s="28"/>
      <c r="FMZ209" s="28"/>
      <c r="FNA209" s="28"/>
      <c r="FNB209" s="28"/>
      <c r="FNC209" s="28"/>
      <c r="FND209" s="28"/>
      <c r="FNE209" s="28"/>
      <c r="FNF209" s="28"/>
      <c r="FNG209" s="28"/>
      <c r="FNH209" s="28"/>
      <c r="FNI209" s="28"/>
      <c r="FNJ209" s="28"/>
      <c r="FNK209" s="28"/>
      <c r="FNL209" s="28"/>
      <c r="FNM209" s="28"/>
      <c r="FNN209" s="28"/>
      <c r="FNO209" s="28"/>
      <c r="FNP209" s="28"/>
      <c r="FNQ209" s="28"/>
      <c r="FNR209" s="28"/>
      <c r="FNS209" s="28"/>
      <c r="FNT209" s="28"/>
      <c r="FNU209" s="28"/>
      <c r="FNV209" s="28"/>
      <c r="FNW209" s="28"/>
      <c r="FNX209" s="28"/>
      <c r="FNY209" s="28"/>
      <c r="FNZ209" s="28"/>
      <c r="FOA209" s="28"/>
      <c r="FOB209" s="28"/>
      <c r="FOC209" s="28"/>
      <c r="FOD209" s="28"/>
      <c r="FOE209" s="28"/>
      <c r="FOF209" s="28"/>
      <c r="FOG209" s="28"/>
      <c r="FOH209" s="28"/>
      <c r="FOI209" s="28"/>
      <c r="FOJ209" s="28"/>
      <c r="FOK209" s="28"/>
      <c r="FOL209" s="28"/>
      <c r="FOM209" s="28"/>
      <c r="FON209" s="28"/>
      <c r="FOO209" s="28"/>
      <c r="FOP209" s="28"/>
      <c r="FOQ209" s="28"/>
      <c r="FOR209" s="28"/>
      <c r="FOS209" s="28"/>
      <c r="FOT209" s="28"/>
      <c r="FOU209" s="28"/>
      <c r="FOV209" s="28"/>
      <c r="FOW209" s="28"/>
      <c r="FOX209" s="28"/>
      <c r="FOY209" s="28"/>
      <c r="FOZ209" s="28"/>
      <c r="FPA209" s="28"/>
      <c r="FPB209" s="28"/>
      <c r="FPC209" s="28"/>
      <c r="FPD209" s="28"/>
      <c r="FPE209" s="28"/>
      <c r="FPF209" s="28"/>
      <c r="FPG209" s="28"/>
      <c r="FPH209" s="28"/>
      <c r="FPI209" s="28"/>
      <c r="FPJ209" s="28"/>
      <c r="FPK209" s="28"/>
      <c r="FPL209" s="28"/>
      <c r="FPM209" s="28"/>
      <c r="FPN209" s="28"/>
      <c r="FPO209" s="28"/>
      <c r="FPP209" s="28"/>
      <c r="FPQ209" s="28"/>
      <c r="FPR209" s="28"/>
      <c r="FPS209" s="28"/>
      <c r="FPT209" s="28"/>
      <c r="FPU209" s="28"/>
      <c r="FPV209" s="28"/>
      <c r="FPW209" s="28"/>
      <c r="FPX209" s="28"/>
      <c r="FPY209" s="28"/>
      <c r="FPZ209" s="28"/>
      <c r="FQA209" s="28"/>
      <c r="FQB209" s="28"/>
      <c r="FQC209" s="28"/>
      <c r="FQD209" s="28"/>
      <c r="FQE209" s="28"/>
      <c r="FQF209" s="28"/>
      <c r="FQG209" s="28"/>
      <c r="FQH209" s="28"/>
      <c r="FQI209" s="28"/>
      <c r="FQJ209" s="28"/>
      <c r="FQK209" s="28"/>
      <c r="FQL209" s="28"/>
      <c r="FQM209" s="28"/>
      <c r="FQN209" s="28"/>
      <c r="FQO209" s="28"/>
      <c r="FQP209" s="28"/>
      <c r="FQQ209" s="28"/>
      <c r="FQR209" s="28"/>
      <c r="FQS209" s="28"/>
      <c r="FQT209" s="28"/>
      <c r="FQU209" s="28"/>
      <c r="FQV209" s="28"/>
      <c r="FQW209" s="28"/>
      <c r="FQX209" s="28"/>
      <c r="FQY209" s="28"/>
      <c r="FQZ209" s="28"/>
      <c r="FRA209" s="28"/>
      <c r="FRB209" s="28"/>
      <c r="FRC209" s="28"/>
      <c r="FRD209" s="28"/>
      <c r="FRE209" s="28"/>
      <c r="FRF209" s="28"/>
      <c r="FRG209" s="28"/>
      <c r="FRH209" s="28"/>
      <c r="FRI209" s="28"/>
      <c r="FRJ209" s="28"/>
      <c r="FRK209" s="28"/>
      <c r="FRL209" s="28"/>
      <c r="FRM209" s="28"/>
      <c r="FRN209" s="28"/>
      <c r="FRO209" s="28"/>
      <c r="FRP209" s="28"/>
      <c r="FRQ209" s="28"/>
      <c r="FRR209" s="28"/>
      <c r="FRS209" s="28"/>
      <c r="FRT209" s="28"/>
      <c r="FRU209" s="28"/>
      <c r="FRV209" s="28"/>
      <c r="FRW209" s="28"/>
      <c r="FRX209" s="28"/>
      <c r="FRY209" s="28"/>
      <c r="FRZ209" s="28"/>
      <c r="FSA209" s="28"/>
      <c r="FSB209" s="28"/>
      <c r="FSC209" s="28"/>
      <c r="FSD209" s="28"/>
      <c r="FSE209" s="28"/>
      <c r="FSF209" s="28"/>
      <c r="FSG209" s="28"/>
      <c r="FSH209" s="28"/>
      <c r="FSI209" s="28"/>
      <c r="FSJ209" s="28"/>
      <c r="FSK209" s="28"/>
      <c r="FSL209" s="28"/>
      <c r="FSM209" s="28"/>
      <c r="FSN209" s="28"/>
      <c r="FSO209" s="28"/>
      <c r="FSP209" s="28"/>
      <c r="FSQ209" s="28"/>
      <c r="FSR209" s="28"/>
      <c r="FSS209" s="28"/>
      <c r="FST209" s="28"/>
      <c r="FSU209" s="28"/>
      <c r="FSV209" s="28"/>
      <c r="FSW209" s="28"/>
      <c r="FSX209" s="28"/>
      <c r="FSY209" s="28"/>
      <c r="FSZ209" s="28"/>
      <c r="FTA209" s="28"/>
      <c r="FTB209" s="28"/>
      <c r="FTC209" s="28"/>
      <c r="FTD209" s="28"/>
      <c r="FTE209" s="28"/>
      <c r="FTF209" s="28"/>
      <c r="FTG209" s="28"/>
      <c r="FTH209" s="28"/>
      <c r="FTI209" s="28"/>
      <c r="FTJ209" s="28"/>
      <c r="FTK209" s="28"/>
      <c r="FTL209" s="28"/>
      <c r="FTM209" s="28"/>
      <c r="FTN209" s="28"/>
      <c r="FTO209" s="28"/>
      <c r="FTP209" s="28"/>
      <c r="FTQ209" s="28"/>
      <c r="FTR209" s="28"/>
      <c r="FTS209" s="28"/>
      <c r="FTT209" s="28"/>
      <c r="FTU209" s="28"/>
      <c r="FTV209" s="28"/>
      <c r="FTW209" s="28"/>
      <c r="FTX209" s="28"/>
      <c r="FTY209" s="28"/>
      <c r="FTZ209" s="28"/>
      <c r="FUA209" s="28"/>
      <c r="FUB209" s="28"/>
      <c r="FUC209" s="28"/>
      <c r="FUD209" s="28"/>
      <c r="FUE209" s="28"/>
      <c r="FUF209" s="28"/>
      <c r="FUG209" s="28"/>
      <c r="FUH209" s="28"/>
      <c r="FUI209" s="28"/>
      <c r="FUJ209" s="28"/>
      <c r="FUK209" s="28"/>
      <c r="FUL209" s="28"/>
      <c r="FUM209" s="28"/>
      <c r="FUN209" s="28"/>
      <c r="FUO209" s="28"/>
      <c r="FUP209" s="28"/>
      <c r="FUQ209" s="28"/>
      <c r="FUR209" s="28"/>
      <c r="FUS209" s="28"/>
      <c r="FUT209" s="28"/>
      <c r="FUU209" s="28"/>
      <c r="FUV209" s="28"/>
      <c r="FUW209" s="28"/>
      <c r="FUX209" s="28"/>
      <c r="FUY209" s="28"/>
      <c r="FUZ209" s="28"/>
      <c r="FVA209" s="28"/>
      <c r="FVB209" s="28"/>
      <c r="FVC209" s="28"/>
      <c r="FVD209" s="28"/>
      <c r="FVE209" s="28"/>
      <c r="FVF209" s="28"/>
      <c r="FVG209" s="28"/>
      <c r="FVH209" s="28"/>
      <c r="FVI209" s="28"/>
      <c r="FVJ209" s="28"/>
      <c r="FVK209" s="28"/>
      <c r="FVL209" s="28"/>
      <c r="FVM209" s="28"/>
      <c r="FVN209" s="28"/>
      <c r="FVO209" s="28"/>
      <c r="FVP209" s="28"/>
      <c r="FVQ209" s="28"/>
      <c r="FVR209" s="28"/>
      <c r="FVS209" s="28"/>
      <c r="FVT209" s="28"/>
      <c r="FVU209" s="28"/>
      <c r="FVV209" s="28"/>
      <c r="FVW209" s="28"/>
      <c r="FVX209" s="28"/>
      <c r="FVY209" s="28"/>
      <c r="FVZ209" s="28"/>
      <c r="FWA209" s="28"/>
      <c r="FWB209" s="28"/>
      <c r="FWC209" s="28"/>
      <c r="FWD209" s="28"/>
      <c r="FWE209" s="28"/>
      <c r="FWF209" s="28"/>
      <c r="FWG209" s="28"/>
      <c r="FWH209" s="28"/>
      <c r="FWI209" s="28"/>
      <c r="FWJ209" s="28"/>
      <c r="FWK209" s="28"/>
      <c r="FWL209" s="28"/>
      <c r="FWM209" s="28"/>
      <c r="FWN209" s="28"/>
      <c r="FWO209" s="28"/>
      <c r="FWP209" s="28"/>
      <c r="FWQ209" s="28"/>
      <c r="FWR209" s="28"/>
      <c r="FWS209" s="28"/>
      <c r="FWT209" s="28"/>
      <c r="FWU209" s="28"/>
      <c r="FWV209" s="28"/>
      <c r="FWW209" s="28"/>
      <c r="FWX209" s="28"/>
      <c r="FWY209" s="28"/>
      <c r="FWZ209" s="28"/>
      <c r="FXA209" s="28"/>
      <c r="FXB209" s="28"/>
      <c r="FXC209" s="28"/>
      <c r="FXD209" s="28"/>
      <c r="FXE209" s="28"/>
      <c r="FXF209" s="28"/>
      <c r="FXG209" s="28"/>
      <c r="FXH209" s="28"/>
      <c r="FXI209" s="28"/>
      <c r="FXJ209" s="28"/>
      <c r="FXK209" s="28"/>
      <c r="FXL209" s="28"/>
      <c r="FXM209" s="28"/>
      <c r="FXN209" s="28"/>
      <c r="FXO209" s="28"/>
      <c r="FXP209" s="28"/>
      <c r="FXQ209" s="28"/>
      <c r="FXR209" s="28"/>
      <c r="FXS209" s="28"/>
      <c r="FXT209" s="28"/>
      <c r="FXU209" s="28"/>
      <c r="FXV209" s="28"/>
      <c r="FXW209" s="28"/>
      <c r="FXX209" s="28"/>
      <c r="FXY209" s="28"/>
      <c r="FXZ209" s="28"/>
      <c r="FYA209" s="28"/>
      <c r="FYB209" s="28"/>
      <c r="FYC209" s="28"/>
      <c r="FYD209" s="28"/>
      <c r="FYE209" s="28"/>
      <c r="FYF209" s="28"/>
      <c r="FYG209" s="28"/>
      <c r="FYH209" s="28"/>
      <c r="FYI209" s="28"/>
      <c r="FYJ209" s="28"/>
      <c r="FYK209" s="28"/>
      <c r="FYL209" s="28"/>
      <c r="FYM209" s="28"/>
      <c r="FYN209" s="28"/>
      <c r="FYO209" s="28"/>
      <c r="FYP209" s="28"/>
      <c r="FYQ209" s="28"/>
      <c r="FYR209" s="28"/>
      <c r="FYS209" s="28"/>
      <c r="FYT209" s="28"/>
      <c r="FYU209" s="28"/>
      <c r="FYV209" s="28"/>
      <c r="FYW209" s="28"/>
      <c r="FYX209" s="28"/>
      <c r="FYY209" s="28"/>
      <c r="FYZ209" s="28"/>
      <c r="FZA209" s="28"/>
      <c r="FZB209" s="28"/>
      <c r="FZC209" s="28"/>
      <c r="FZD209" s="28"/>
      <c r="FZE209" s="28"/>
      <c r="FZF209" s="28"/>
      <c r="FZG209" s="28"/>
      <c r="FZH209" s="28"/>
      <c r="FZI209" s="28"/>
      <c r="FZJ209" s="28"/>
      <c r="FZK209" s="28"/>
      <c r="FZL209" s="28"/>
      <c r="FZM209" s="28"/>
      <c r="FZN209" s="28"/>
      <c r="FZO209" s="28"/>
      <c r="FZP209" s="28"/>
      <c r="FZQ209" s="28"/>
      <c r="FZR209" s="28"/>
      <c r="FZS209" s="28"/>
      <c r="FZT209" s="28"/>
      <c r="FZU209" s="28"/>
      <c r="FZV209" s="28"/>
      <c r="FZW209" s="28"/>
      <c r="FZX209" s="28"/>
      <c r="FZY209" s="28"/>
      <c r="FZZ209" s="28"/>
      <c r="GAA209" s="28"/>
      <c r="GAB209" s="28"/>
      <c r="GAC209" s="28"/>
      <c r="GAD209" s="28"/>
      <c r="GAE209" s="28"/>
      <c r="GAF209" s="28"/>
      <c r="GAG209" s="28"/>
      <c r="GAH209" s="28"/>
      <c r="GAI209" s="28"/>
      <c r="GAJ209" s="28"/>
      <c r="GAK209" s="28"/>
      <c r="GAL209" s="28"/>
      <c r="GAM209" s="28"/>
      <c r="GAN209" s="28"/>
      <c r="GAO209" s="28"/>
      <c r="GAP209" s="28"/>
      <c r="GAQ209" s="28"/>
      <c r="GAR209" s="28"/>
      <c r="GAS209" s="28"/>
      <c r="GAT209" s="28"/>
      <c r="GAU209" s="28"/>
      <c r="GAV209" s="28"/>
      <c r="GAW209" s="28"/>
      <c r="GAX209" s="28"/>
      <c r="GAY209" s="28"/>
      <c r="GAZ209" s="28"/>
      <c r="GBA209" s="28"/>
      <c r="GBB209" s="28"/>
      <c r="GBC209" s="28"/>
      <c r="GBD209" s="28"/>
      <c r="GBE209" s="28"/>
      <c r="GBF209" s="28"/>
      <c r="GBG209" s="28"/>
      <c r="GBH209" s="28"/>
      <c r="GBI209" s="28"/>
      <c r="GBJ209" s="28"/>
      <c r="GBK209" s="28"/>
      <c r="GBL209" s="28"/>
      <c r="GBM209" s="28"/>
      <c r="GBN209" s="28"/>
      <c r="GBO209" s="28"/>
      <c r="GBP209" s="28"/>
      <c r="GBQ209" s="28"/>
      <c r="GBR209" s="28"/>
      <c r="GBS209" s="28"/>
      <c r="GBT209" s="28"/>
      <c r="GBU209" s="28"/>
      <c r="GBV209" s="28"/>
      <c r="GBW209" s="28"/>
      <c r="GBX209" s="28"/>
      <c r="GBY209" s="28"/>
      <c r="GBZ209" s="28"/>
      <c r="GCA209" s="28"/>
      <c r="GCB209" s="28"/>
      <c r="GCC209" s="28"/>
      <c r="GCD209" s="28"/>
      <c r="GCE209" s="28"/>
      <c r="GCF209" s="28"/>
      <c r="GCG209" s="28"/>
      <c r="GCH209" s="28"/>
      <c r="GCI209" s="28"/>
      <c r="GCJ209" s="28"/>
      <c r="GCK209" s="28"/>
      <c r="GCL209" s="28"/>
      <c r="GCM209" s="28"/>
      <c r="GCN209" s="28"/>
      <c r="GCO209" s="28"/>
      <c r="GCP209" s="28"/>
      <c r="GCQ209" s="28"/>
      <c r="GCR209" s="28"/>
      <c r="GCS209" s="28"/>
      <c r="GCT209" s="28"/>
      <c r="GCU209" s="28"/>
      <c r="GCV209" s="28"/>
      <c r="GCW209" s="28"/>
      <c r="GCX209" s="28"/>
      <c r="GCY209" s="28"/>
      <c r="GCZ209" s="28"/>
      <c r="GDA209" s="28"/>
      <c r="GDB209" s="28"/>
      <c r="GDC209" s="28"/>
      <c r="GDD209" s="28"/>
      <c r="GDE209" s="28"/>
      <c r="GDF209" s="28"/>
      <c r="GDG209" s="28"/>
      <c r="GDH209" s="28"/>
      <c r="GDI209" s="28"/>
      <c r="GDJ209" s="28"/>
      <c r="GDK209" s="28"/>
      <c r="GDL209" s="28"/>
      <c r="GDM209" s="28"/>
      <c r="GDN209" s="28"/>
      <c r="GDO209" s="28"/>
      <c r="GDP209" s="28"/>
      <c r="GDQ209" s="28"/>
      <c r="GDR209" s="28"/>
      <c r="GDS209" s="28"/>
      <c r="GDT209" s="28"/>
      <c r="GDU209" s="28"/>
      <c r="GDV209" s="28"/>
      <c r="GDW209" s="28"/>
      <c r="GDX209" s="28"/>
      <c r="GDY209" s="28"/>
      <c r="GDZ209" s="28"/>
      <c r="GEA209" s="28"/>
      <c r="GEB209" s="28"/>
      <c r="GEC209" s="28"/>
      <c r="GED209" s="28"/>
      <c r="GEE209" s="28"/>
      <c r="GEF209" s="28"/>
      <c r="GEG209" s="28"/>
      <c r="GEH209" s="28"/>
      <c r="GEI209" s="28"/>
      <c r="GEJ209" s="28"/>
      <c r="GEK209" s="28"/>
      <c r="GEL209" s="28"/>
      <c r="GEM209" s="28"/>
      <c r="GEN209" s="28"/>
      <c r="GEO209" s="28"/>
      <c r="GEP209" s="28"/>
      <c r="GEQ209" s="28"/>
      <c r="GER209" s="28"/>
      <c r="GES209" s="28"/>
      <c r="GET209" s="28"/>
      <c r="GEU209" s="28"/>
      <c r="GEV209" s="28"/>
      <c r="GEW209" s="28"/>
      <c r="GEX209" s="28"/>
      <c r="GEY209" s="28"/>
      <c r="GEZ209" s="28"/>
      <c r="GFA209" s="28"/>
      <c r="GFB209" s="28"/>
      <c r="GFC209" s="28"/>
      <c r="GFD209" s="28"/>
      <c r="GFE209" s="28"/>
      <c r="GFF209" s="28"/>
      <c r="GFG209" s="28"/>
      <c r="GFH209" s="28"/>
      <c r="GFI209" s="28"/>
      <c r="GFJ209" s="28"/>
      <c r="GFK209" s="28"/>
      <c r="GFL209" s="28"/>
      <c r="GFM209" s="28"/>
      <c r="GFN209" s="28"/>
      <c r="GFO209" s="28"/>
      <c r="GFP209" s="28"/>
      <c r="GFQ209" s="28"/>
      <c r="GFR209" s="28"/>
      <c r="GFS209" s="28"/>
      <c r="GFT209" s="28"/>
      <c r="GFU209" s="28"/>
      <c r="GFV209" s="28"/>
      <c r="GFW209" s="28"/>
      <c r="GFX209" s="28"/>
      <c r="GFY209" s="28"/>
      <c r="GFZ209" s="28"/>
      <c r="GGA209" s="28"/>
      <c r="GGB209" s="28"/>
      <c r="GGC209" s="28"/>
      <c r="GGD209" s="28"/>
      <c r="GGE209" s="28"/>
      <c r="GGF209" s="28"/>
      <c r="GGG209" s="28"/>
      <c r="GGH209" s="28"/>
      <c r="GGI209" s="28"/>
      <c r="GGJ209" s="28"/>
      <c r="GGK209" s="28"/>
      <c r="GGL209" s="28"/>
      <c r="GGM209" s="28"/>
      <c r="GGN209" s="28"/>
      <c r="GGO209" s="28"/>
      <c r="GGP209" s="28"/>
      <c r="GGQ209" s="28"/>
      <c r="GGR209" s="28"/>
      <c r="GGS209" s="28"/>
      <c r="GGT209" s="28"/>
      <c r="GGU209" s="28"/>
      <c r="GGV209" s="28"/>
      <c r="GGW209" s="28"/>
      <c r="GGX209" s="28"/>
      <c r="GGY209" s="28"/>
      <c r="GGZ209" s="28"/>
      <c r="GHA209" s="28"/>
      <c r="GHB209" s="28"/>
      <c r="GHC209" s="28"/>
      <c r="GHD209" s="28"/>
      <c r="GHE209" s="28"/>
      <c r="GHF209" s="28"/>
      <c r="GHG209" s="28"/>
      <c r="GHH209" s="28"/>
      <c r="GHI209" s="28"/>
      <c r="GHJ209" s="28"/>
      <c r="GHK209" s="28"/>
      <c r="GHL209" s="28"/>
      <c r="GHM209" s="28"/>
      <c r="GHN209" s="28"/>
      <c r="GHO209" s="28"/>
      <c r="GHP209" s="28"/>
      <c r="GHQ209" s="28"/>
      <c r="GHR209" s="28"/>
      <c r="GHS209" s="28"/>
      <c r="GHT209" s="28"/>
      <c r="GHU209" s="28"/>
      <c r="GHV209" s="28"/>
      <c r="GHW209" s="28"/>
      <c r="GHX209" s="28"/>
      <c r="GHY209" s="28"/>
      <c r="GHZ209" s="28"/>
      <c r="GIA209" s="28"/>
      <c r="GIB209" s="28"/>
      <c r="GIC209" s="28"/>
      <c r="GID209" s="28"/>
      <c r="GIE209" s="28"/>
      <c r="GIF209" s="28"/>
      <c r="GIG209" s="28"/>
      <c r="GIH209" s="28"/>
      <c r="GII209" s="28"/>
      <c r="GIJ209" s="28"/>
      <c r="GIK209" s="28"/>
      <c r="GIL209" s="28"/>
      <c r="GIM209" s="28"/>
      <c r="GIN209" s="28"/>
      <c r="GIO209" s="28"/>
      <c r="GIP209" s="28"/>
      <c r="GIQ209" s="28"/>
      <c r="GIR209" s="28"/>
      <c r="GIS209" s="28"/>
      <c r="GIT209" s="28"/>
      <c r="GIU209" s="28"/>
      <c r="GIV209" s="28"/>
      <c r="GIW209" s="28"/>
      <c r="GIX209" s="28"/>
      <c r="GIY209" s="28"/>
      <c r="GIZ209" s="28"/>
      <c r="GJA209" s="28"/>
      <c r="GJB209" s="28"/>
      <c r="GJC209" s="28"/>
      <c r="GJD209" s="28"/>
      <c r="GJE209" s="28"/>
      <c r="GJF209" s="28"/>
      <c r="GJG209" s="28"/>
      <c r="GJH209" s="28"/>
      <c r="GJI209" s="28"/>
      <c r="GJJ209" s="28"/>
      <c r="GJK209" s="28"/>
      <c r="GJL209" s="28"/>
      <c r="GJM209" s="28"/>
      <c r="GJN209" s="28"/>
      <c r="GJO209" s="28"/>
      <c r="GJP209" s="28"/>
      <c r="GJQ209" s="28"/>
      <c r="GJR209" s="28"/>
      <c r="GJS209" s="28"/>
      <c r="GJT209" s="28"/>
      <c r="GJU209" s="28"/>
      <c r="GJV209" s="28"/>
      <c r="GJW209" s="28"/>
      <c r="GJX209" s="28"/>
      <c r="GJY209" s="28"/>
      <c r="GJZ209" s="28"/>
      <c r="GKA209" s="28"/>
      <c r="GKB209" s="28"/>
      <c r="GKC209" s="28"/>
      <c r="GKD209" s="28"/>
      <c r="GKE209" s="28"/>
      <c r="GKF209" s="28"/>
      <c r="GKG209" s="28"/>
      <c r="GKH209" s="28"/>
      <c r="GKI209" s="28"/>
      <c r="GKJ209" s="28"/>
      <c r="GKK209" s="28"/>
      <c r="GKL209" s="28"/>
      <c r="GKM209" s="28"/>
      <c r="GKN209" s="28"/>
      <c r="GKO209" s="28"/>
      <c r="GKP209" s="28"/>
      <c r="GKQ209" s="28"/>
      <c r="GKR209" s="28"/>
      <c r="GKS209" s="28"/>
      <c r="GKT209" s="28"/>
      <c r="GKU209" s="28"/>
      <c r="GKV209" s="28"/>
      <c r="GKW209" s="28"/>
      <c r="GKX209" s="28"/>
      <c r="GKY209" s="28"/>
      <c r="GKZ209" s="28"/>
      <c r="GLA209" s="28"/>
      <c r="GLB209" s="28"/>
      <c r="GLC209" s="28"/>
      <c r="GLD209" s="28"/>
      <c r="GLE209" s="28"/>
      <c r="GLF209" s="28"/>
      <c r="GLG209" s="28"/>
      <c r="GLH209" s="28"/>
      <c r="GLI209" s="28"/>
      <c r="GLJ209" s="28"/>
      <c r="GLK209" s="28"/>
    </row>
    <row r="210" spans="1:5055" s="38" customFormat="1">
      <c r="A210" s="78">
        <v>207</v>
      </c>
      <c r="B210" s="81" t="s">
        <v>161</v>
      </c>
      <c r="C210" s="3">
        <v>66.5</v>
      </c>
      <c r="D210" s="31" t="s">
        <v>178</v>
      </c>
      <c r="E210" s="7">
        <v>46185</v>
      </c>
      <c r="F210" s="4" t="s">
        <v>297</v>
      </c>
      <c r="G210" s="4" t="s">
        <v>296</v>
      </c>
      <c r="H210" s="4" t="s">
        <v>231</v>
      </c>
      <c r="I210" s="5">
        <v>9318</v>
      </c>
      <c r="J210" s="36" t="s">
        <v>336</v>
      </c>
      <c r="K210" s="2">
        <v>5000</v>
      </c>
      <c r="L210" s="2">
        <f>K210*0.95</f>
        <v>4750</v>
      </c>
      <c r="M210" s="2">
        <f>L210-K210</f>
        <v>-250</v>
      </c>
      <c r="N210" s="22">
        <f>+L210/K210</f>
        <v>0.95</v>
      </c>
      <c r="O210" s="56">
        <f>E210+P210+1+3+17</f>
        <v>46223.332453601179</v>
      </c>
      <c r="P210" s="39">
        <f>L210/Q210</f>
        <v>17.332453601177459</v>
      </c>
      <c r="Q210" s="27">
        <f t="shared" ref="Q210" si="326">640*40/82*0.96*0.9144</f>
        <v>274.0523707317073</v>
      </c>
      <c r="R210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  <c r="FS210" s="28"/>
      <c r="FT210" s="28"/>
      <c r="FU210" s="28"/>
      <c r="FV210" s="28"/>
      <c r="FW210" s="28"/>
      <c r="FX210" s="28"/>
      <c r="FY210" s="28"/>
      <c r="FZ210" s="28"/>
      <c r="GA210" s="28"/>
      <c r="GB210" s="28"/>
      <c r="GC210" s="28"/>
      <c r="GD210" s="28"/>
      <c r="GE210" s="28"/>
      <c r="GF210" s="28"/>
      <c r="GG210" s="28"/>
      <c r="GH210" s="28"/>
      <c r="GI210" s="28"/>
      <c r="GJ210" s="28"/>
      <c r="GK210" s="28"/>
      <c r="GL210" s="28"/>
      <c r="GM210" s="28"/>
      <c r="GN210" s="28"/>
      <c r="GO210" s="28"/>
      <c r="GP210" s="28"/>
      <c r="GQ210" s="28"/>
      <c r="GR210" s="28"/>
      <c r="GS210" s="28"/>
      <c r="GT210" s="28"/>
      <c r="GU210" s="28"/>
      <c r="GV210" s="28"/>
      <c r="GW210" s="28"/>
      <c r="GX210" s="28"/>
      <c r="GY210" s="28"/>
      <c r="GZ210" s="28"/>
      <c r="HA210" s="28"/>
      <c r="HB210" s="28"/>
      <c r="HC210" s="28"/>
      <c r="HD210" s="28"/>
      <c r="HE210" s="28"/>
      <c r="HF210" s="28"/>
      <c r="HG210" s="28"/>
      <c r="HH210" s="28"/>
      <c r="HI210" s="28"/>
      <c r="HJ210" s="28"/>
      <c r="HK210" s="28"/>
      <c r="HL210" s="28"/>
      <c r="HM210" s="28"/>
      <c r="HN210" s="28"/>
      <c r="HO210" s="28"/>
      <c r="HP210" s="28"/>
      <c r="HQ210" s="28"/>
      <c r="HR210" s="28"/>
      <c r="HS210" s="28"/>
      <c r="HT210" s="28"/>
      <c r="HU210" s="28"/>
      <c r="HV210" s="28"/>
      <c r="HW210" s="28"/>
      <c r="HX210" s="28"/>
      <c r="HY210" s="28"/>
      <c r="HZ210" s="28"/>
      <c r="IA210" s="28"/>
      <c r="IB210" s="28"/>
      <c r="IC210" s="28"/>
      <c r="ID210" s="28"/>
      <c r="IE210" s="28"/>
      <c r="IF210" s="28"/>
      <c r="IG210" s="28"/>
      <c r="IH210" s="28"/>
      <c r="II210" s="28"/>
      <c r="IJ210" s="28"/>
      <c r="IK210" s="28"/>
      <c r="IL210" s="28"/>
      <c r="IM210" s="28"/>
      <c r="IN210" s="28"/>
      <c r="IO210" s="28"/>
      <c r="IP210" s="28"/>
      <c r="IQ210" s="28"/>
      <c r="IR210" s="28"/>
      <c r="IS210" s="28"/>
      <c r="IT210" s="28"/>
      <c r="IU210" s="28"/>
      <c r="IV210" s="28"/>
      <c r="IW210" s="28"/>
      <c r="IX210" s="28"/>
      <c r="IY210" s="28"/>
      <c r="IZ210" s="28"/>
      <c r="JA210" s="28"/>
      <c r="JB210" s="28"/>
      <c r="JC210" s="28"/>
      <c r="JD210" s="28"/>
      <c r="JE210" s="28"/>
      <c r="JF210" s="28"/>
      <c r="JG210" s="28"/>
      <c r="JH210" s="28"/>
      <c r="JI210" s="28"/>
      <c r="JJ210" s="28"/>
      <c r="JK210" s="28"/>
      <c r="JL210" s="28"/>
      <c r="JM210" s="28"/>
      <c r="JN210" s="28"/>
      <c r="JO210" s="28"/>
      <c r="JP210" s="28"/>
      <c r="JQ210" s="28"/>
      <c r="JR210" s="28"/>
      <c r="JS210" s="28"/>
      <c r="JT210" s="28"/>
      <c r="JU210" s="28"/>
      <c r="JV210" s="28"/>
      <c r="JW210" s="28"/>
      <c r="JX210" s="28"/>
      <c r="JY210" s="28"/>
      <c r="JZ210" s="28"/>
      <c r="KA210" s="28"/>
      <c r="KB210" s="28"/>
      <c r="KC210" s="28"/>
      <c r="KD210" s="28"/>
      <c r="KE210" s="28"/>
      <c r="KF210" s="28"/>
      <c r="KG210" s="28"/>
      <c r="KH210" s="28"/>
      <c r="KI210" s="28"/>
      <c r="KJ210" s="28"/>
      <c r="KK210" s="28"/>
      <c r="KL210" s="28"/>
      <c r="KM210" s="28"/>
      <c r="KN210" s="28"/>
      <c r="KO210" s="28"/>
      <c r="KP210" s="28"/>
      <c r="KQ210" s="28"/>
      <c r="KR210" s="28"/>
      <c r="KS210" s="28"/>
      <c r="KT210" s="28"/>
      <c r="KU210" s="28"/>
      <c r="KV210" s="28"/>
      <c r="KW210" s="28"/>
      <c r="KX210" s="28"/>
      <c r="KY210" s="28"/>
      <c r="KZ210" s="28"/>
      <c r="LA210" s="28"/>
      <c r="LB210" s="28"/>
      <c r="LC210" s="28"/>
      <c r="LD210" s="28"/>
      <c r="LE210" s="28"/>
      <c r="LF210" s="28"/>
      <c r="LG210" s="28"/>
      <c r="LH210" s="28"/>
      <c r="LI210" s="28"/>
      <c r="LJ210" s="28"/>
      <c r="LK210" s="28"/>
      <c r="LL210" s="28"/>
      <c r="LM210" s="28"/>
      <c r="LN210" s="28"/>
      <c r="LO210" s="28"/>
      <c r="LP210" s="28"/>
      <c r="LQ210" s="28"/>
      <c r="LR210" s="28"/>
      <c r="LS210" s="28"/>
      <c r="LT210" s="28"/>
      <c r="LU210" s="28"/>
      <c r="LV210" s="28"/>
      <c r="LW210" s="28"/>
      <c r="LX210" s="28"/>
      <c r="LY210" s="28"/>
      <c r="LZ210" s="28"/>
      <c r="MA210" s="28"/>
      <c r="MB210" s="28"/>
      <c r="MC210" s="28"/>
      <c r="MD210" s="28"/>
      <c r="ME210" s="28"/>
      <c r="MF210" s="28"/>
      <c r="MG210" s="28"/>
      <c r="MH210" s="28"/>
      <c r="MI210" s="28"/>
      <c r="MJ210" s="28"/>
      <c r="MK210" s="28"/>
      <c r="ML210" s="28"/>
      <c r="MM210" s="28"/>
      <c r="MN210" s="28"/>
      <c r="MO210" s="28"/>
      <c r="MP210" s="28"/>
      <c r="MQ210" s="28"/>
      <c r="MR210" s="28"/>
      <c r="MS210" s="28"/>
      <c r="MT210" s="28"/>
      <c r="MU210" s="28"/>
      <c r="MV210" s="28"/>
      <c r="MW210" s="28"/>
      <c r="MX210" s="28"/>
      <c r="MY210" s="28"/>
      <c r="MZ210" s="28"/>
      <c r="NA210" s="28"/>
      <c r="NB210" s="28"/>
      <c r="NC210" s="28"/>
      <c r="ND210" s="28"/>
      <c r="NE210" s="28"/>
      <c r="NF210" s="28"/>
      <c r="NG210" s="28"/>
      <c r="NH210" s="28"/>
      <c r="NI210" s="28"/>
      <c r="NJ210" s="28"/>
      <c r="NK210" s="28"/>
      <c r="NL210" s="28"/>
      <c r="NM210" s="28"/>
      <c r="NN210" s="28"/>
      <c r="NO210" s="28"/>
      <c r="NP210" s="28"/>
      <c r="NQ210" s="28"/>
      <c r="NR210" s="28"/>
      <c r="NS210" s="28"/>
      <c r="NT210" s="28"/>
      <c r="NU210" s="28"/>
      <c r="NV210" s="28"/>
      <c r="NW210" s="28"/>
      <c r="NX210" s="28"/>
      <c r="NY210" s="28"/>
      <c r="NZ210" s="28"/>
      <c r="OA210" s="28"/>
      <c r="OB210" s="28"/>
      <c r="OC210" s="28"/>
      <c r="OD210" s="28"/>
      <c r="OE210" s="28"/>
      <c r="OF210" s="28"/>
      <c r="OG210" s="28"/>
      <c r="OH210" s="28"/>
      <c r="OI210" s="28"/>
      <c r="OJ210" s="28"/>
      <c r="OK210" s="28"/>
      <c r="OL210" s="28"/>
      <c r="OM210" s="28"/>
      <c r="ON210" s="28"/>
      <c r="OO210" s="28"/>
      <c r="OP210" s="28"/>
      <c r="OQ210" s="28"/>
      <c r="OR210" s="28"/>
      <c r="OS210" s="28"/>
      <c r="OT210" s="28"/>
      <c r="OU210" s="28"/>
      <c r="OV210" s="28"/>
      <c r="OW210" s="28"/>
      <c r="OX210" s="28"/>
      <c r="OY210" s="28"/>
      <c r="OZ210" s="28"/>
      <c r="PA210" s="28"/>
      <c r="PB210" s="28"/>
      <c r="PC210" s="28"/>
      <c r="PD210" s="28"/>
      <c r="PE210" s="28"/>
      <c r="PF210" s="28"/>
      <c r="PG210" s="28"/>
      <c r="PH210" s="28"/>
      <c r="PI210" s="28"/>
      <c r="PJ210" s="28"/>
      <c r="PK210" s="28"/>
      <c r="PL210" s="28"/>
      <c r="PM210" s="28"/>
      <c r="PN210" s="28"/>
      <c r="PO210" s="28"/>
      <c r="PP210" s="28"/>
      <c r="PQ210" s="28"/>
      <c r="PR210" s="28"/>
      <c r="PS210" s="28"/>
      <c r="PT210" s="28"/>
      <c r="PU210" s="28"/>
      <c r="PV210" s="28"/>
      <c r="PW210" s="28"/>
      <c r="PX210" s="28"/>
      <c r="PY210" s="28"/>
      <c r="PZ210" s="28"/>
      <c r="QA210" s="28"/>
      <c r="QB210" s="28"/>
      <c r="QC210" s="28"/>
      <c r="QD210" s="28"/>
      <c r="QE210" s="28"/>
      <c r="QF210" s="28"/>
      <c r="QG210" s="28"/>
      <c r="QH210" s="28"/>
      <c r="QI210" s="28"/>
      <c r="QJ210" s="28"/>
      <c r="QK210" s="28"/>
      <c r="QL210" s="28"/>
      <c r="QM210" s="28"/>
      <c r="QN210" s="28"/>
      <c r="QO210" s="28"/>
      <c r="QP210" s="28"/>
      <c r="QQ210" s="28"/>
      <c r="QR210" s="28"/>
      <c r="QS210" s="28"/>
      <c r="QT210" s="28"/>
      <c r="QU210" s="28"/>
      <c r="QV210" s="28"/>
      <c r="QW210" s="28"/>
      <c r="QX210" s="28"/>
      <c r="QY210" s="28"/>
      <c r="QZ210" s="28"/>
      <c r="RA210" s="28"/>
      <c r="RB210" s="28"/>
      <c r="RC210" s="28"/>
      <c r="RD210" s="28"/>
      <c r="RE210" s="28"/>
      <c r="RF210" s="28"/>
      <c r="RG210" s="28"/>
      <c r="RH210" s="28"/>
      <c r="RI210" s="28"/>
      <c r="RJ210" s="28"/>
      <c r="RK210" s="28"/>
      <c r="RL210" s="28"/>
      <c r="RM210" s="28"/>
      <c r="RN210" s="28"/>
      <c r="RO210" s="28"/>
      <c r="RP210" s="28"/>
      <c r="RQ210" s="28"/>
      <c r="RR210" s="28"/>
      <c r="RS210" s="28"/>
      <c r="RT210" s="28"/>
      <c r="RU210" s="28"/>
      <c r="RV210" s="28"/>
      <c r="RW210" s="28"/>
      <c r="RX210" s="28"/>
      <c r="RY210" s="28"/>
      <c r="RZ210" s="28"/>
      <c r="SA210" s="28"/>
      <c r="SB210" s="28"/>
      <c r="SC210" s="28"/>
      <c r="SD210" s="28"/>
      <c r="SE210" s="28"/>
      <c r="SF210" s="28"/>
      <c r="SG210" s="28"/>
      <c r="SH210" s="28"/>
      <c r="SI210" s="28"/>
      <c r="SJ210" s="28"/>
      <c r="SK210" s="28"/>
      <c r="SL210" s="28"/>
      <c r="SM210" s="28"/>
      <c r="SN210" s="28"/>
      <c r="SO210" s="28"/>
      <c r="SP210" s="28"/>
      <c r="SQ210" s="28"/>
      <c r="SR210" s="28"/>
      <c r="SS210" s="28"/>
      <c r="ST210" s="28"/>
      <c r="SU210" s="28"/>
      <c r="SV210" s="28"/>
      <c r="SW210" s="28"/>
      <c r="SX210" s="28"/>
      <c r="SY210" s="28"/>
      <c r="SZ210" s="28"/>
      <c r="TA210" s="28"/>
      <c r="TB210" s="28"/>
      <c r="TC210" s="28"/>
      <c r="TD210" s="28"/>
      <c r="TE210" s="28"/>
      <c r="TF210" s="28"/>
      <c r="TG210" s="28"/>
      <c r="TH210" s="28"/>
      <c r="TI210" s="28"/>
      <c r="TJ210" s="28"/>
      <c r="TK210" s="28"/>
      <c r="TL210" s="28"/>
      <c r="TM210" s="28"/>
      <c r="TN210" s="28"/>
      <c r="TO210" s="28"/>
      <c r="TP210" s="28"/>
      <c r="TQ210" s="28"/>
      <c r="TR210" s="28"/>
      <c r="TS210" s="28"/>
      <c r="TT210" s="28"/>
      <c r="TU210" s="28"/>
      <c r="TV210" s="28"/>
      <c r="TW210" s="28"/>
      <c r="TX210" s="28"/>
      <c r="TY210" s="28"/>
      <c r="TZ210" s="28"/>
      <c r="UA210" s="28"/>
      <c r="UB210" s="28"/>
      <c r="UC210" s="28"/>
      <c r="UD210" s="28"/>
      <c r="UE210" s="28"/>
      <c r="UF210" s="28"/>
      <c r="UG210" s="28"/>
      <c r="UH210" s="28"/>
      <c r="UI210" s="28"/>
      <c r="UJ210" s="28"/>
      <c r="UK210" s="28"/>
      <c r="UL210" s="28"/>
      <c r="UM210" s="28"/>
      <c r="UN210" s="28"/>
      <c r="UO210" s="28"/>
      <c r="UP210" s="28"/>
      <c r="UQ210" s="28"/>
      <c r="UR210" s="28"/>
      <c r="US210" s="28"/>
      <c r="UT210" s="28"/>
      <c r="UU210" s="28"/>
      <c r="UV210" s="28"/>
      <c r="UW210" s="28"/>
      <c r="UX210" s="28"/>
      <c r="UY210" s="28"/>
      <c r="UZ210" s="28"/>
      <c r="VA210" s="28"/>
      <c r="VB210" s="28"/>
      <c r="VC210" s="28"/>
      <c r="VD210" s="28"/>
      <c r="VE210" s="28"/>
      <c r="VF210" s="28"/>
      <c r="VG210" s="28"/>
      <c r="VH210" s="28"/>
      <c r="VI210" s="28"/>
      <c r="VJ210" s="28"/>
      <c r="VK210" s="28"/>
      <c r="VL210" s="28"/>
      <c r="VM210" s="28"/>
      <c r="VN210" s="28"/>
      <c r="VO210" s="28"/>
      <c r="VP210" s="28"/>
      <c r="VQ210" s="28"/>
      <c r="VR210" s="28"/>
      <c r="VS210" s="28"/>
      <c r="VT210" s="28"/>
      <c r="VU210" s="28"/>
      <c r="VV210" s="28"/>
      <c r="VW210" s="28"/>
      <c r="VX210" s="28"/>
      <c r="VY210" s="28"/>
      <c r="VZ210" s="28"/>
      <c r="WA210" s="28"/>
      <c r="WB210" s="28"/>
      <c r="WC210" s="28"/>
      <c r="WD210" s="28"/>
      <c r="WE210" s="28"/>
      <c r="WF210" s="28"/>
      <c r="WG210" s="28"/>
      <c r="WH210" s="28"/>
      <c r="WI210" s="28"/>
      <c r="WJ210" s="28"/>
      <c r="WK210" s="28"/>
      <c r="WL210" s="28"/>
      <c r="WM210" s="28"/>
      <c r="WN210" s="28"/>
      <c r="WO210" s="28"/>
      <c r="WP210" s="28"/>
      <c r="WQ210" s="28"/>
      <c r="WR210" s="28"/>
      <c r="WS210" s="28"/>
      <c r="WT210" s="28"/>
      <c r="WU210" s="28"/>
      <c r="WV210" s="28"/>
      <c r="WW210" s="28"/>
      <c r="WX210" s="28"/>
      <c r="WY210" s="28"/>
      <c r="WZ210" s="28"/>
      <c r="XA210" s="28"/>
      <c r="XB210" s="28"/>
      <c r="XC210" s="28"/>
      <c r="XD210" s="28"/>
      <c r="XE210" s="28"/>
      <c r="XF210" s="28"/>
      <c r="XG210" s="28"/>
      <c r="XH210" s="28"/>
      <c r="XI210" s="28"/>
      <c r="XJ210" s="28"/>
      <c r="XK210" s="28"/>
      <c r="XL210" s="28"/>
      <c r="XM210" s="28"/>
      <c r="XN210" s="28"/>
      <c r="XO210" s="28"/>
      <c r="XP210" s="28"/>
      <c r="XQ210" s="28"/>
      <c r="XR210" s="28"/>
      <c r="XS210" s="28"/>
      <c r="XT210" s="28"/>
      <c r="XU210" s="28"/>
      <c r="XV210" s="28"/>
      <c r="XW210" s="28"/>
      <c r="XX210" s="28"/>
      <c r="XY210" s="28"/>
      <c r="XZ210" s="28"/>
      <c r="YA210" s="28"/>
      <c r="YB210" s="28"/>
      <c r="YC210" s="28"/>
      <c r="YD210" s="28"/>
      <c r="YE210" s="28"/>
      <c r="YF210" s="28"/>
      <c r="YG210" s="28"/>
      <c r="YH210" s="28"/>
      <c r="YI210" s="28"/>
      <c r="YJ210" s="28"/>
      <c r="YK210" s="28"/>
      <c r="YL210" s="28"/>
      <c r="YM210" s="28"/>
      <c r="YN210" s="28"/>
      <c r="YO210" s="28"/>
      <c r="YP210" s="28"/>
      <c r="YQ210" s="28"/>
      <c r="YR210" s="28"/>
      <c r="YS210" s="28"/>
      <c r="YT210" s="28"/>
      <c r="YU210" s="28"/>
      <c r="YV210" s="28"/>
      <c r="YW210" s="28"/>
      <c r="YX210" s="28"/>
      <c r="YY210" s="28"/>
      <c r="YZ210" s="28"/>
      <c r="ZA210" s="28"/>
      <c r="ZB210" s="28"/>
      <c r="ZC210" s="28"/>
      <c r="ZD210" s="28"/>
      <c r="ZE210" s="28"/>
      <c r="ZF210" s="28"/>
      <c r="ZG210" s="28"/>
      <c r="ZH210" s="28"/>
      <c r="ZI210" s="28"/>
      <c r="ZJ210" s="28"/>
      <c r="ZK210" s="28"/>
      <c r="ZL210" s="28"/>
      <c r="ZM210" s="28"/>
      <c r="ZN210" s="28"/>
      <c r="ZO210" s="28"/>
      <c r="ZP210" s="28"/>
      <c r="ZQ210" s="28"/>
      <c r="ZR210" s="28"/>
      <c r="ZS210" s="28"/>
      <c r="ZT210" s="28"/>
      <c r="ZU210" s="28"/>
      <c r="ZV210" s="28"/>
      <c r="ZW210" s="28"/>
      <c r="ZX210" s="28"/>
      <c r="ZY210" s="28"/>
      <c r="ZZ210" s="28"/>
      <c r="AAA210" s="28"/>
      <c r="AAB210" s="28"/>
      <c r="AAC210" s="28"/>
      <c r="AAD210" s="28"/>
      <c r="AAE210" s="28"/>
      <c r="AAF210" s="28"/>
      <c r="AAG210" s="28"/>
      <c r="AAH210" s="28"/>
      <c r="AAI210" s="28"/>
      <c r="AAJ210" s="28"/>
      <c r="AAK210" s="28"/>
      <c r="AAL210" s="28"/>
      <c r="AAM210" s="28"/>
      <c r="AAN210" s="28"/>
      <c r="AAO210" s="28"/>
      <c r="AAP210" s="28"/>
      <c r="AAQ210" s="28"/>
      <c r="AAR210" s="28"/>
      <c r="AAS210" s="28"/>
      <c r="AAT210" s="28"/>
      <c r="AAU210" s="28"/>
      <c r="AAV210" s="28"/>
      <c r="AAW210" s="28"/>
      <c r="AAX210" s="28"/>
      <c r="AAY210" s="28"/>
      <c r="AAZ210" s="28"/>
      <c r="ABA210" s="28"/>
      <c r="ABB210" s="28"/>
      <c r="ABC210" s="28"/>
      <c r="ABD210" s="28"/>
      <c r="ABE210" s="28"/>
      <c r="ABF210" s="28"/>
      <c r="ABG210" s="28"/>
      <c r="ABH210" s="28"/>
      <c r="ABI210" s="28"/>
      <c r="ABJ210" s="28"/>
      <c r="ABK210" s="28"/>
      <c r="ABL210" s="28"/>
      <c r="ABM210" s="28"/>
      <c r="ABN210" s="28"/>
      <c r="ABO210" s="28"/>
      <c r="ABP210" s="28"/>
      <c r="ABQ210" s="28"/>
      <c r="ABR210" s="28"/>
      <c r="ABS210" s="28"/>
      <c r="ABT210" s="28"/>
      <c r="ABU210" s="28"/>
      <c r="ABV210" s="28"/>
      <c r="ABW210" s="28"/>
      <c r="ABX210" s="28"/>
      <c r="ABY210" s="28"/>
      <c r="ABZ210" s="28"/>
      <c r="ACA210" s="28"/>
      <c r="ACB210" s="28"/>
      <c r="ACC210" s="28"/>
      <c r="ACD210" s="28"/>
      <c r="ACE210" s="28"/>
      <c r="ACF210" s="28"/>
      <c r="ACG210" s="28"/>
      <c r="ACH210" s="28"/>
      <c r="ACI210" s="28"/>
      <c r="ACJ210" s="28"/>
      <c r="ACK210" s="28"/>
      <c r="ACL210" s="28"/>
      <c r="ACM210" s="28"/>
      <c r="ACN210" s="28"/>
      <c r="ACO210" s="28"/>
      <c r="ACP210" s="28"/>
      <c r="ACQ210" s="28"/>
      <c r="ACR210" s="28"/>
      <c r="ACS210" s="28"/>
      <c r="ACT210" s="28"/>
      <c r="ACU210" s="28"/>
      <c r="ACV210" s="28"/>
      <c r="ACW210" s="28"/>
      <c r="ACX210" s="28"/>
      <c r="ACY210" s="28"/>
      <c r="ACZ210" s="28"/>
      <c r="ADA210" s="28"/>
      <c r="ADB210" s="28"/>
      <c r="ADC210" s="28"/>
      <c r="ADD210" s="28"/>
      <c r="ADE210" s="28"/>
      <c r="ADF210" s="28"/>
      <c r="ADG210" s="28"/>
      <c r="ADH210" s="28"/>
      <c r="ADI210" s="28"/>
      <c r="ADJ210" s="28"/>
      <c r="ADK210" s="28"/>
      <c r="ADL210" s="28"/>
      <c r="ADM210" s="28"/>
      <c r="ADN210" s="28"/>
      <c r="ADO210" s="28"/>
      <c r="ADP210" s="28"/>
      <c r="ADQ210" s="28"/>
      <c r="ADR210" s="28"/>
      <c r="ADS210" s="28"/>
      <c r="ADT210" s="28"/>
      <c r="ADU210" s="28"/>
      <c r="ADV210" s="28"/>
      <c r="ADW210" s="28"/>
      <c r="ADX210" s="28"/>
      <c r="ADY210" s="28"/>
      <c r="ADZ210" s="28"/>
      <c r="AEA210" s="28"/>
      <c r="AEB210" s="28"/>
      <c r="AEC210" s="28"/>
      <c r="AED210" s="28"/>
      <c r="AEE210" s="28"/>
      <c r="AEF210" s="28"/>
      <c r="AEG210" s="28"/>
      <c r="AEH210" s="28"/>
      <c r="AEI210" s="28"/>
      <c r="AEJ210" s="28"/>
      <c r="AEK210" s="28"/>
      <c r="AEL210" s="28"/>
      <c r="AEM210" s="28"/>
      <c r="AEN210" s="28"/>
      <c r="AEO210" s="28"/>
      <c r="AEP210" s="28"/>
      <c r="AEQ210" s="28"/>
      <c r="AER210" s="28"/>
      <c r="AES210" s="28"/>
      <c r="AET210" s="28"/>
      <c r="AEU210" s="28"/>
      <c r="AEV210" s="28"/>
      <c r="AEW210" s="28"/>
      <c r="AEX210" s="28"/>
      <c r="AEY210" s="28"/>
      <c r="AEZ210" s="28"/>
      <c r="AFA210" s="28"/>
      <c r="AFB210" s="28"/>
      <c r="AFC210" s="28"/>
      <c r="AFD210" s="28"/>
      <c r="AFE210" s="28"/>
      <c r="AFF210" s="28"/>
      <c r="AFG210" s="28"/>
      <c r="AFH210" s="28"/>
      <c r="AFI210" s="28"/>
      <c r="AFJ210" s="28"/>
      <c r="AFK210" s="28"/>
      <c r="AFL210" s="28"/>
      <c r="AFM210" s="28"/>
      <c r="AFN210" s="28"/>
      <c r="AFO210" s="28"/>
      <c r="AFP210" s="28"/>
      <c r="AFQ210" s="28"/>
      <c r="AFR210" s="28"/>
      <c r="AFS210" s="28"/>
      <c r="AFT210" s="28"/>
      <c r="AFU210" s="28"/>
      <c r="AFV210" s="28"/>
      <c r="AFW210" s="28"/>
      <c r="AFX210" s="28"/>
      <c r="AFY210" s="28"/>
      <c r="AFZ210" s="28"/>
      <c r="AGA210" s="28"/>
      <c r="AGB210" s="28"/>
      <c r="AGC210" s="28"/>
      <c r="AGD210" s="28"/>
      <c r="AGE210" s="28"/>
      <c r="AGF210" s="28"/>
      <c r="AGG210" s="28"/>
      <c r="AGH210" s="28"/>
      <c r="AGI210" s="28"/>
      <c r="AGJ210" s="28"/>
      <c r="AGK210" s="28"/>
      <c r="AGL210" s="28"/>
      <c r="AGM210" s="28"/>
      <c r="AGN210" s="28"/>
      <c r="AGO210" s="28"/>
      <c r="AGP210" s="28"/>
      <c r="AGQ210" s="28"/>
      <c r="AGR210" s="28"/>
      <c r="AGS210" s="28"/>
      <c r="AGT210" s="28"/>
      <c r="AGU210" s="28"/>
      <c r="AGV210" s="28"/>
      <c r="AGW210" s="28"/>
      <c r="AGX210" s="28"/>
      <c r="AGY210" s="28"/>
      <c r="AGZ210" s="28"/>
      <c r="AHA210" s="28"/>
      <c r="AHB210" s="28"/>
      <c r="AHC210" s="28"/>
      <c r="AHD210" s="28"/>
      <c r="AHE210" s="28"/>
      <c r="AHF210" s="28"/>
      <c r="AHG210" s="28"/>
      <c r="AHH210" s="28"/>
      <c r="AHI210" s="28"/>
      <c r="AHJ210" s="28"/>
      <c r="AHK210" s="28"/>
      <c r="AHL210" s="28"/>
      <c r="AHM210" s="28"/>
      <c r="AHN210" s="28"/>
      <c r="AHO210" s="28"/>
      <c r="AHP210" s="28"/>
      <c r="AHQ210" s="28"/>
      <c r="AHR210" s="28"/>
      <c r="AHS210" s="28"/>
      <c r="AHT210" s="28"/>
      <c r="AHU210" s="28"/>
      <c r="AHV210" s="28"/>
      <c r="AHW210" s="28"/>
      <c r="AHX210" s="28"/>
      <c r="AHY210" s="28"/>
      <c r="AHZ210" s="28"/>
      <c r="AIA210" s="28"/>
      <c r="AIB210" s="28"/>
      <c r="AIC210" s="28"/>
      <c r="AID210" s="28"/>
      <c r="AIE210" s="28"/>
      <c r="AIF210" s="28"/>
      <c r="AIG210" s="28"/>
      <c r="AIH210" s="28"/>
      <c r="AII210" s="28"/>
      <c r="AIJ210" s="28"/>
      <c r="AIK210" s="28"/>
      <c r="AIL210" s="28"/>
      <c r="AIM210" s="28"/>
      <c r="AIN210" s="28"/>
      <c r="AIO210" s="28"/>
      <c r="AIP210" s="28"/>
      <c r="AIQ210" s="28"/>
      <c r="AIR210" s="28"/>
      <c r="AIS210" s="28"/>
      <c r="AIT210" s="28"/>
      <c r="AIU210" s="28"/>
      <c r="AIV210" s="28"/>
      <c r="AIW210" s="28"/>
      <c r="AIX210" s="28"/>
      <c r="AIY210" s="28"/>
      <c r="AIZ210" s="28"/>
      <c r="AJA210" s="28"/>
      <c r="AJB210" s="28"/>
      <c r="AJC210" s="28"/>
      <c r="AJD210" s="28"/>
      <c r="AJE210" s="28"/>
      <c r="AJF210" s="28"/>
      <c r="AJG210" s="28"/>
      <c r="AJH210" s="28"/>
      <c r="AJI210" s="28"/>
      <c r="AJJ210" s="28"/>
      <c r="AJK210" s="28"/>
      <c r="AJL210" s="28"/>
      <c r="AJM210" s="28"/>
      <c r="AJN210" s="28"/>
      <c r="AJO210" s="28"/>
      <c r="AJP210" s="28"/>
      <c r="AJQ210" s="28"/>
      <c r="AJR210" s="28"/>
      <c r="AJS210" s="28"/>
      <c r="AJT210" s="28"/>
      <c r="AJU210" s="28"/>
      <c r="AJV210" s="28"/>
      <c r="AJW210" s="28"/>
      <c r="AJX210" s="28"/>
      <c r="AJY210" s="28"/>
      <c r="AJZ210" s="28"/>
      <c r="AKA210" s="28"/>
      <c r="AKB210" s="28"/>
      <c r="AKC210" s="28"/>
      <c r="AKD210" s="28"/>
      <c r="AKE210" s="28"/>
      <c r="AKF210" s="28"/>
      <c r="AKG210" s="28"/>
      <c r="AKH210" s="28"/>
      <c r="AKI210" s="28"/>
      <c r="AKJ210" s="28"/>
      <c r="AKK210" s="28"/>
      <c r="AKL210" s="28"/>
      <c r="AKM210" s="28"/>
      <c r="AKN210" s="28"/>
      <c r="AKO210" s="28"/>
      <c r="AKP210" s="28"/>
      <c r="AKQ210" s="28"/>
      <c r="AKR210" s="28"/>
      <c r="AKS210" s="28"/>
      <c r="AKT210" s="28"/>
      <c r="AKU210" s="28"/>
      <c r="AKV210" s="28"/>
      <c r="AKW210" s="28"/>
      <c r="AKX210" s="28"/>
      <c r="AKY210" s="28"/>
      <c r="AKZ210" s="28"/>
      <c r="ALA210" s="28"/>
      <c r="ALB210" s="28"/>
      <c r="ALC210" s="28"/>
      <c r="ALD210" s="28"/>
      <c r="ALE210" s="28"/>
      <c r="ALF210" s="28"/>
      <c r="ALG210" s="28"/>
      <c r="ALH210" s="28"/>
      <c r="ALI210" s="28"/>
      <c r="ALJ210" s="28"/>
      <c r="ALK210" s="28"/>
      <c r="ALL210" s="28"/>
      <c r="ALM210" s="28"/>
      <c r="ALN210" s="28"/>
      <c r="ALO210" s="28"/>
      <c r="ALP210" s="28"/>
      <c r="ALQ210" s="28"/>
      <c r="ALR210" s="28"/>
      <c r="ALS210" s="28"/>
      <c r="ALT210" s="28"/>
      <c r="ALU210" s="28"/>
      <c r="ALV210" s="28"/>
      <c r="ALW210" s="28"/>
      <c r="ALX210" s="28"/>
      <c r="ALY210" s="28"/>
      <c r="ALZ210" s="28"/>
      <c r="AMA210" s="28"/>
      <c r="AMB210" s="28"/>
      <c r="AMC210" s="28"/>
      <c r="AMD210" s="28"/>
      <c r="AME210" s="28"/>
      <c r="AMF210" s="28"/>
      <c r="AMG210" s="28"/>
      <c r="AMH210" s="28"/>
      <c r="AMI210" s="28"/>
      <c r="AMJ210" s="28"/>
      <c r="AMK210" s="28"/>
      <c r="AML210" s="28"/>
      <c r="AMM210" s="28"/>
      <c r="AMN210" s="28"/>
      <c r="AMO210" s="28"/>
      <c r="AMP210" s="28"/>
      <c r="AMQ210" s="28"/>
      <c r="AMR210" s="28"/>
      <c r="AMS210" s="28"/>
      <c r="AMT210" s="28"/>
      <c r="AMU210" s="28"/>
      <c r="AMV210" s="28"/>
      <c r="AMW210" s="28"/>
      <c r="AMX210" s="28"/>
      <c r="AMY210" s="28"/>
      <c r="AMZ210" s="28"/>
      <c r="ANA210" s="28"/>
      <c r="ANB210" s="28"/>
      <c r="ANC210" s="28"/>
      <c r="AND210" s="28"/>
      <c r="ANE210" s="28"/>
      <c r="ANF210" s="28"/>
      <c r="ANG210" s="28"/>
      <c r="ANH210" s="28"/>
      <c r="ANI210" s="28"/>
      <c r="ANJ210" s="28"/>
      <c r="ANK210" s="28"/>
      <c r="ANL210" s="28"/>
      <c r="ANM210" s="28"/>
      <c r="ANN210" s="28"/>
      <c r="ANO210" s="28"/>
      <c r="ANP210" s="28"/>
      <c r="ANQ210" s="28"/>
      <c r="ANR210" s="28"/>
      <c r="ANS210" s="28"/>
      <c r="ANT210" s="28"/>
      <c r="ANU210" s="28"/>
      <c r="ANV210" s="28"/>
      <c r="ANW210" s="28"/>
      <c r="ANX210" s="28"/>
      <c r="ANY210" s="28"/>
      <c r="ANZ210" s="28"/>
      <c r="AOA210" s="28"/>
      <c r="AOB210" s="28"/>
      <c r="AOC210" s="28"/>
      <c r="AOD210" s="28"/>
      <c r="AOE210" s="28"/>
      <c r="AOF210" s="28"/>
      <c r="AOG210" s="28"/>
      <c r="AOH210" s="28"/>
      <c r="AOI210" s="28"/>
      <c r="AOJ210" s="28"/>
      <c r="AOK210" s="28"/>
      <c r="AOL210" s="28"/>
      <c r="AOM210" s="28"/>
      <c r="AON210" s="28"/>
      <c r="AOO210" s="28"/>
      <c r="AOP210" s="28"/>
      <c r="AOQ210" s="28"/>
      <c r="AOR210" s="28"/>
      <c r="AOS210" s="28"/>
      <c r="AOT210" s="28"/>
      <c r="AOU210" s="28"/>
      <c r="AOV210" s="28"/>
      <c r="AOW210" s="28"/>
      <c r="AOX210" s="28"/>
      <c r="AOY210" s="28"/>
      <c r="AOZ210" s="28"/>
      <c r="APA210" s="28"/>
      <c r="APB210" s="28"/>
      <c r="APC210" s="28"/>
      <c r="APD210" s="28"/>
      <c r="APE210" s="28"/>
      <c r="APF210" s="28"/>
      <c r="APG210" s="28"/>
      <c r="APH210" s="28"/>
      <c r="API210" s="28"/>
      <c r="APJ210" s="28"/>
      <c r="APK210" s="28"/>
      <c r="APL210" s="28"/>
      <c r="APM210" s="28"/>
      <c r="APN210" s="28"/>
      <c r="APO210" s="28"/>
      <c r="APP210" s="28"/>
      <c r="APQ210" s="28"/>
      <c r="APR210" s="28"/>
      <c r="APS210" s="28"/>
      <c r="APT210" s="28"/>
      <c r="APU210" s="28"/>
      <c r="APV210" s="28"/>
      <c r="APW210" s="28"/>
      <c r="APX210" s="28"/>
      <c r="APY210" s="28"/>
      <c r="APZ210" s="28"/>
      <c r="AQA210" s="28"/>
      <c r="AQB210" s="28"/>
      <c r="AQC210" s="28"/>
      <c r="AQD210" s="28"/>
      <c r="AQE210" s="28"/>
      <c r="AQF210" s="28"/>
      <c r="AQG210" s="28"/>
      <c r="AQH210" s="28"/>
      <c r="AQI210" s="28"/>
      <c r="AQJ210" s="28"/>
      <c r="AQK210" s="28"/>
      <c r="AQL210" s="28"/>
      <c r="AQM210" s="28"/>
      <c r="AQN210" s="28"/>
      <c r="AQO210" s="28"/>
      <c r="AQP210" s="28"/>
      <c r="AQQ210" s="28"/>
      <c r="AQR210" s="28"/>
      <c r="AQS210" s="28"/>
      <c r="AQT210" s="28"/>
      <c r="AQU210" s="28"/>
      <c r="AQV210" s="28"/>
      <c r="AQW210" s="28"/>
      <c r="AQX210" s="28"/>
      <c r="AQY210" s="28"/>
      <c r="AQZ210" s="28"/>
      <c r="ARA210" s="28"/>
      <c r="ARB210" s="28"/>
      <c r="ARC210" s="28"/>
      <c r="ARD210" s="28"/>
      <c r="ARE210" s="28"/>
      <c r="ARF210" s="28"/>
      <c r="ARG210" s="28"/>
      <c r="ARH210" s="28"/>
      <c r="ARI210" s="28"/>
      <c r="ARJ210" s="28"/>
      <c r="ARK210" s="28"/>
      <c r="ARL210" s="28"/>
      <c r="ARM210" s="28"/>
      <c r="ARN210" s="28"/>
      <c r="ARO210" s="28"/>
      <c r="ARP210" s="28"/>
      <c r="ARQ210" s="28"/>
      <c r="ARR210" s="28"/>
      <c r="ARS210" s="28"/>
      <c r="ART210" s="28"/>
      <c r="ARU210" s="28"/>
      <c r="ARV210" s="28"/>
      <c r="ARW210" s="28"/>
      <c r="ARX210" s="28"/>
      <c r="ARY210" s="28"/>
      <c r="ARZ210" s="28"/>
      <c r="ASA210" s="28"/>
      <c r="ASB210" s="28"/>
      <c r="ASC210" s="28"/>
      <c r="ASD210" s="28"/>
      <c r="ASE210" s="28"/>
      <c r="ASF210" s="28"/>
      <c r="ASG210" s="28"/>
      <c r="ASH210" s="28"/>
      <c r="ASI210" s="28"/>
      <c r="ASJ210" s="28"/>
      <c r="ASK210" s="28"/>
      <c r="ASL210" s="28"/>
      <c r="ASM210" s="28"/>
      <c r="ASN210" s="28"/>
      <c r="ASO210" s="28"/>
      <c r="ASP210" s="28"/>
      <c r="ASQ210" s="28"/>
      <c r="ASR210" s="28"/>
      <c r="ASS210" s="28"/>
      <c r="AST210" s="28"/>
      <c r="ASU210" s="28"/>
      <c r="ASV210" s="28"/>
      <c r="ASW210" s="28"/>
      <c r="ASX210" s="28"/>
      <c r="ASY210" s="28"/>
      <c r="ASZ210" s="28"/>
      <c r="ATA210" s="28"/>
      <c r="ATB210" s="28"/>
      <c r="ATC210" s="28"/>
      <c r="ATD210" s="28"/>
      <c r="ATE210" s="28"/>
      <c r="ATF210" s="28"/>
      <c r="ATG210" s="28"/>
      <c r="ATH210" s="28"/>
      <c r="ATI210" s="28"/>
      <c r="ATJ210" s="28"/>
      <c r="ATK210" s="28"/>
      <c r="ATL210" s="28"/>
      <c r="ATM210" s="28"/>
      <c r="ATN210" s="28"/>
      <c r="ATO210" s="28"/>
      <c r="ATP210" s="28"/>
      <c r="ATQ210" s="28"/>
      <c r="ATR210" s="28"/>
      <c r="ATS210" s="28"/>
      <c r="ATT210" s="28"/>
      <c r="ATU210" s="28"/>
      <c r="ATV210" s="28"/>
      <c r="ATW210" s="28"/>
      <c r="ATX210" s="28"/>
      <c r="ATY210" s="28"/>
      <c r="ATZ210" s="28"/>
      <c r="AUA210" s="28"/>
      <c r="AUB210" s="28"/>
      <c r="AUC210" s="28"/>
      <c r="AUD210" s="28"/>
      <c r="AUE210" s="28"/>
      <c r="AUF210" s="28"/>
      <c r="AUG210" s="28"/>
      <c r="AUH210" s="28"/>
      <c r="AUI210" s="28"/>
      <c r="AUJ210" s="28"/>
      <c r="AUK210" s="28"/>
      <c r="AUL210" s="28"/>
      <c r="AUM210" s="28"/>
      <c r="AUN210" s="28"/>
      <c r="AUO210" s="28"/>
      <c r="AUP210" s="28"/>
      <c r="AUQ210" s="28"/>
      <c r="AUR210" s="28"/>
      <c r="AUS210" s="28"/>
      <c r="AUT210" s="28"/>
      <c r="AUU210" s="28"/>
      <c r="AUV210" s="28"/>
      <c r="AUW210" s="28"/>
      <c r="AUX210" s="28"/>
      <c r="AUY210" s="28"/>
      <c r="AUZ210" s="28"/>
      <c r="AVA210" s="28"/>
      <c r="AVB210" s="28"/>
      <c r="AVC210" s="28"/>
      <c r="AVD210" s="28"/>
      <c r="AVE210" s="28"/>
      <c r="AVF210" s="28"/>
      <c r="AVG210" s="28"/>
      <c r="AVH210" s="28"/>
      <c r="AVI210" s="28"/>
      <c r="AVJ210" s="28"/>
      <c r="AVK210" s="28"/>
      <c r="AVL210" s="28"/>
      <c r="AVM210" s="28"/>
      <c r="AVN210" s="28"/>
      <c r="AVO210" s="28"/>
      <c r="AVP210" s="28"/>
      <c r="AVQ210" s="28"/>
      <c r="AVR210" s="28"/>
      <c r="AVS210" s="28"/>
      <c r="AVT210" s="28"/>
      <c r="AVU210" s="28"/>
      <c r="AVV210" s="28"/>
      <c r="AVW210" s="28"/>
      <c r="AVX210" s="28"/>
      <c r="AVY210" s="28"/>
      <c r="AVZ210" s="28"/>
      <c r="AWA210" s="28"/>
      <c r="AWB210" s="28"/>
      <c r="AWC210" s="28"/>
      <c r="AWD210" s="28"/>
      <c r="AWE210" s="28"/>
      <c r="AWF210" s="28"/>
      <c r="AWG210" s="28"/>
      <c r="AWH210" s="28"/>
      <c r="AWI210" s="28"/>
      <c r="AWJ210" s="28"/>
      <c r="AWK210" s="28"/>
      <c r="AWL210" s="28"/>
      <c r="AWM210" s="28"/>
      <c r="AWN210" s="28"/>
      <c r="AWO210" s="28"/>
      <c r="AWP210" s="28"/>
      <c r="AWQ210" s="28"/>
      <c r="AWR210" s="28"/>
      <c r="AWS210" s="28"/>
      <c r="AWT210" s="28"/>
      <c r="AWU210" s="28"/>
      <c r="AWV210" s="28"/>
      <c r="AWW210" s="28"/>
      <c r="AWX210" s="28"/>
      <c r="AWY210" s="28"/>
      <c r="AWZ210" s="28"/>
      <c r="AXA210" s="28"/>
      <c r="AXB210" s="28"/>
      <c r="AXC210" s="28"/>
      <c r="AXD210" s="28"/>
      <c r="AXE210" s="28"/>
      <c r="AXF210" s="28"/>
      <c r="AXG210" s="28"/>
      <c r="AXH210" s="28"/>
      <c r="AXI210" s="28"/>
      <c r="AXJ210" s="28"/>
      <c r="AXK210" s="28"/>
      <c r="AXL210" s="28"/>
      <c r="AXM210" s="28"/>
      <c r="AXN210" s="28"/>
      <c r="AXO210" s="28"/>
      <c r="AXP210" s="28"/>
      <c r="AXQ210" s="28"/>
      <c r="AXR210" s="28"/>
      <c r="AXS210" s="28"/>
      <c r="AXT210" s="28"/>
      <c r="AXU210" s="28"/>
      <c r="AXV210" s="28"/>
      <c r="AXW210" s="28"/>
      <c r="AXX210" s="28"/>
      <c r="AXY210" s="28"/>
      <c r="AXZ210" s="28"/>
      <c r="AYA210" s="28"/>
      <c r="AYB210" s="28"/>
      <c r="AYC210" s="28"/>
      <c r="AYD210" s="28"/>
      <c r="AYE210" s="28"/>
      <c r="AYF210" s="28"/>
      <c r="AYG210" s="28"/>
      <c r="AYH210" s="28"/>
      <c r="AYI210" s="28"/>
      <c r="AYJ210" s="28"/>
      <c r="AYK210" s="28"/>
      <c r="AYL210" s="28"/>
      <c r="AYM210" s="28"/>
      <c r="AYN210" s="28"/>
      <c r="AYO210" s="28"/>
      <c r="AYP210" s="28"/>
      <c r="AYQ210" s="28"/>
      <c r="AYR210" s="28"/>
      <c r="AYS210" s="28"/>
      <c r="AYT210" s="28"/>
      <c r="AYU210" s="28"/>
      <c r="AYV210" s="28"/>
      <c r="AYW210" s="28"/>
      <c r="AYX210" s="28"/>
      <c r="AYY210" s="28"/>
      <c r="AYZ210" s="28"/>
      <c r="AZA210" s="28"/>
      <c r="AZB210" s="28"/>
      <c r="AZC210" s="28"/>
      <c r="AZD210" s="28"/>
      <c r="AZE210" s="28"/>
      <c r="AZF210" s="28"/>
      <c r="AZG210" s="28"/>
      <c r="AZH210" s="28"/>
      <c r="AZI210" s="28"/>
      <c r="AZJ210" s="28"/>
      <c r="AZK210" s="28"/>
      <c r="AZL210" s="28"/>
      <c r="AZM210" s="28"/>
      <c r="AZN210" s="28"/>
      <c r="AZO210" s="28"/>
      <c r="AZP210" s="28"/>
      <c r="AZQ210" s="28"/>
      <c r="AZR210" s="28"/>
      <c r="AZS210" s="28"/>
      <c r="AZT210" s="28"/>
      <c r="AZU210" s="28"/>
      <c r="AZV210" s="28"/>
      <c r="AZW210" s="28"/>
      <c r="AZX210" s="28"/>
      <c r="AZY210" s="28"/>
      <c r="AZZ210" s="28"/>
      <c r="BAA210" s="28"/>
      <c r="BAB210" s="28"/>
      <c r="BAC210" s="28"/>
      <c r="BAD210" s="28"/>
      <c r="BAE210" s="28"/>
      <c r="BAF210" s="28"/>
      <c r="BAG210" s="28"/>
      <c r="BAH210" s="28"/>
      <c r="BAI210" s="28"/>
      <c r="BAJ210" s="28"/>
      <c r="BAK210" s="28"/>
      <c r="BAL210" s="28"/>
      <c r="BAM210" s="28"/>
      <c r="BAN210" s="28"/>
      <c r="BAO210" s="28"/>
      <c r="BAP210" s="28"/>
      <c r="BAQ210" s="28"/>
      <c r="BAR210" s="28"/>
      <c r="BAS210" s="28"/>
      <c r="BAT210" s="28"/>
      <c r="BAU210" s="28"/>
      <c r="BAV210" s="28"/>
      <c r="BAW210" s="28"/>
      <c r="BAX210" s="28"/>
      <c r="BAY210" s="28"/>
      <c r="BAZ210" s="28"/>
      <c r="BBA210" s="28"/>
      <c r="BBB210" s="28"/>
      <c r="BBC210" s="28"/>
      <c r="BBD210" s="28"/>
      <c r="BBE210" s="28"/>
      <c r="BBF210" s="28"/>
      <c r="BBG210" s="28"/>
      <c r="BBH210" s="28"/>
      <c r="BBI210" s="28"/>
      <c r="BBJ210" s="28"/>
      <c r="BBK210" s="28"/>
      <c r="BBL210" s="28"/>
      <c r="BBM210" s="28"/>
      <c r="BBN210" s="28"/>
      <c r="BBO210" s="28"/>
      <c r="BBP210" s="28"/>
      <c r="BBQ210" s="28"/>
      <c r="BBR210" s="28"/>
      <c r="BBS210" s="28"/>
      <c r="BBT210" s="28"/>
      <c r="BBU210" s="28"/>
      <c r="BBV210" s="28"/>
      <c r="BBW210" s="28"/>
      <c r="BBX210" s="28"/>
      <c r="BBY210" s="28"/>
      <c r="BBZ210" s="28"/>
      <c r="BCA210" s="28"/>
      <c r="BCB210" s="28"/>
      <c r="BCC210" s="28"/>
      <c r="BCD210" s="28"/>
      <c r="BCE210" s="28"/>
      <c r="BCF210" s="28"/>
      <c r="BCG210" s="28"/>
      <c r="BCH210" s="28"/>
      <c r="BCI210" s="28"/>
      <c r="BCJ210" s="28"/>
      <c r="BCK210" s="28"/>
      <c r="BCL210" s="28"/>
      <c r="BCM210" s="28"/>
      <c r="BCN210" s="28"/>
      <c r="BCO210" s="28"/>
      <c r="BCP210" s="28"/>
      <c r="BCQ210" s="28"/>
      <c r="BCR210" s="28"/>
      <c r="BCS210" s="28"/>
      <c r="BCT210" s="28"/>
      <c r="BCU210" s="28"/>
      <c r="BCV210" s="28"/>
      <c r="BCW210" s="28"/>
      <c r="BCX210" s="28"/>
      <c r="BCY210" s="28"/>
      <c r="BCZ210" s="28"/>
      <c r="BDA210" s="28"/>
      <c r="BDB210" s="28"/>
      <c r="BDC210" s="28"/>
      <c r="BDD210" s="28"/>
      <c r="BDE210" s="28"/>
      <c r="BDF210" s="28"/>
      <c r="BDG210" s="28"/>
      <c r="BDH210" s="28"/>
      <c r="BDI210" s="28"/>
      <c r="BDJ210" s="28"/>
      <c r="BDK210" s="28"/>
      <c r="BDL210" s="28"/>
      <c r="BDM210" s="28"/>
      <c r="BDN210" s="28"/>
      <c r="BDO210" s="28"/>
      <c r="BDP210" s="28"/>
      <c r="BDQ210" s="28"/>
      <c r="BDR210" s="28"/>
      <c r="BDS210" s="28"/>
      <c r="BDT210" s="28"/>
      <c r="BDU210" s="28"/>
      <c r="BDV210" s="28"/>
      <c r="BDW210" s="28"/>
      <c r="BDX210" s="28"/>
      <c r="BDY210" s="28"/>
      <c r="BDZ210" s="28"/>
      <c r="BEA210" s="28"/>
      <c r="BEB210" s="28"/>
      <c r="BEC210" s="28"/>
      <c r="BED210" s="28"/>
      <c r="BEE210" s="28"/>
      <c r="BEF210" s="28"/>
      <c r="BEG210" s="28"/>
      <c r="BEH210" s="28"/>
      <c r="BEI210" s="28"/>
      <c r="BEJ210" s="28"/>
      <c r="BEK210" s="28"/>
      <c r="BEL210" s="28"/>
      <c r="BEM210" s="28"/>
      <c r="BEN210" s="28"/>
      <c r="BEO210" s="28"/>
      <c r="BEP210" s="28"/>
      <c r="BEQ210" s="28"/>
      <c r="BER210" s="28"/>
      <c r="BES210" s="28"/>
      <c r="BET210" s="28"/>
      <c r="BEU210" s="28"/>
      <c r="BEV210" s="28"/>
      <c r="BEW210" s="28"/>
      <c r="BEX210" s="28"/>
      <c r="BEY210" s="28"/>
      <c r="BEZ210" s="28"/>
      <c r="BFA210" s="28"/>
      <c r="BFB210" s="28"/>
      <c r="BFC210" s="28"/>
      <c r="BFD210" s="28"/>
      <c r="BFE210" s="28"/>
      <c r="BFF210" s="28"/>
      <c r="BFG210" s="28"/>
      <c r="BFH210" s="28"/>
      <c r="BFI210" s="28"/>
      <c r="BFJ210" s="28"/>
      <c r="BFK210" s="28"/>
      <c r="BFL210" s="28"/>
      <c r="BFM210" s="28"/>
      <c r="BFN210" s="28"/>
      <c r="BFO210" s="28"/>
      <c r="BFP210" s="28"/>
      <c r="BFQ210" s="28"/>
      <c r="BFR210" s="28"/>
      <c r="BFS210" s="28"/>
      <c r="BFT210" s="28"/>
      <c r="BFU210" s="28"/>
      <c r="BFV210" s="28"/>
      <c r="BFW210" s="28"/>
      <c r="BFX210" s="28"/>
      <c r="BFY210" s="28"/>
      <c r="BFZ210" s="28"/>
      <c r="BGA210" s="28"/>
      <c r="BGB210" s="28"/>
      <c r="BGC210" s="28"/>
      <c r="BGD210" s="28"/>
      <c r="BGE210" s="28"/>
      <c r="BGF210" s="28"/>
      <c r="BGG210" s="28"/>
      <c r="BGH210" s="28"/>
      <c r="BGI210" s="28"/>
      <c r="BGJ210" s="28"/>
      <c r="BGK210" s="28"/>
      <c r="BGL210" s="28"/>
      <c r="BGM210" s="28"/>
      <c r="BGN210" s="28"/>
      <c r="BGO210" s="28"/>
      <c r="BGP210" s="28"/>
      <c r="BGQ210" s="28"/>
      <c r="BGR210" s="28"/>
      <c r="BGS210" s="28"/>
      <c r="BGT210" s="28"/>
      <c r="BGU210" s="28"/>
      <c r="BGV210" s="28"/>
      <c r="BGW210" s="28"/>
      <c r="BGX210" s="28"/>
      <c r="BGY210" s="28"/>
      <c r="BGZ210" s="28"/>
      <c r="BHA210" s="28"/>
      <c r="BHB210" s="28"/>
      <c r="BHC210" s="28"/>
      <c r="BHD210" s="28"/>
      <c r="BHE210" s="28"/>
      <c r="BHF210" s="28"/>
      <c r="BHG210" s="28"/>
      <c r="BHH210" s="28"/>
      <c r="BHI210" s="28"/>
      <c r="BHJ210" s="28"/>
      <c r="BHK210" s="28"/>
      <c r="BHL210" s="28"/>
      <c r="BHM210" s="28"/>
      <c r="BHN210" s="28"/>
      <c r="BHO210" s="28"/>
      <c r="BHP210" s="28"/>
      <c r="BHQ210" s="28"/>
      <c r="BHR210" s="28"/>
      <c r="BHS210" s="28"/>
      <c r="BHT210" s="28"/>
      <c r="BHU210" s="28"/>
      <c r="BHV210" s="28"/>
      <c r="BHW210" s="28"/>
      <c r="BHX210" s="28"/>
      <c r="BHY210" s="28"/>
      <c r="BHZ210" s="28"/>
      <c r="BIA210" s="28"/>
      <c r="BIB210" s="28"/>
      <c r="BIC210" s="28"/>
      <c r="BID210" s="28"/>
      <c r="BIE210" s="28"/>
      <c r="BIF210" s="28"/>
      <c r="BIG210" s="28"/>
      <c r="BIH210" s="28"/>
      <c r="BII210" s="28"/>
      <c r="BIJ210" s="28"/>
      <c r="BIK210" s="28"/>
      <c r="BIL210" s="28"/>
      <c r="BIM210" s="28"/>
      <c r="BIN210" s="28"/>
      <c r="BIO210" s="28"/>
      <c r="BIP210" s="28"/>
      <c r="BIQ210" s="28"/>
      <c r="BIR210" s="28"/>
      <c r="BIS210" s="28"/>
      <c r="BIT210" s="28"/>
      <c r="BIU210" s="28"/>
      <c r="BIV210" s="28"/>
      <c r="BIW210" s="28"/>
      <c r="BIX210" s="28"/>
      <c r="BIY210" s="28"/>
      <c r="BIZ210" s="28"/>
      <c r="BJA210" s="28"/>
      <c r="BJB210" s="28"/>
      <c r="BJC210" s="28"/>
      <c r="BJD210" s="28"/>
      <c r="BJE210" s="28"/>
      <c r="BJF210" s="28"/>
      <c r="BJG210" s="28"/>
      <c r="BJH210" s="28"/>
      <c r="BJI210" s="28"/>
      <c r="BJJ210" s="28"/>
      <c r="BJK210" s="28"/>
      <c r="BJL210" s="28"/>
      <c r="BJM210" s="28"/>
      <c r="BJN210" s="28"/>
      <c r="BJO210" s="28"/>
      <c r="BJP210" s="28"/>
      <c r="BJQ210" s="28"/>
      <c r="BJR210" s="28"/>
      <c r="BJS210" s="28"/>
      <c r="BJT210" s="28"/>
      <c r="BJU210" s="28"/>
      <c r="BJV210" s="28"/>
      <c r="BJW210" s="28"/>
      <c r="BJX210" s="28"/>
      <c r="BJY210" s="28"/>
      <c r="BJZ210" s="28"/>
      <c r="BKA210" s="28"/>
      <c r="BKB210" s="28"/>
      <c r="BKC210" s="28"/>
      <c r="BKD210" s="28"/>
      <c r="BKE210" s="28"/>
      <c r="BKF210" s="28"/>
      <c r="BKG210" s="28"/>
      <c r="BKH210" s="28"/>
      <c r="BKI210" s="28"/>
      <c r="BKJ210" s="28"/>
      <c r="BKK210" s="28"/>
      <c r="BKL210" s="28"/>
      <c r="BKM210" s="28"/>
      <c r="BKN210" s="28"/>
      <c r="BKO210" s="28"/>
      <c r="BKP210" s="28"/>
      <c r="BKQ210" s="28"/>
      <c r="BKR210" s="28"/>
      <c r="BKS210" s="28"/>
      <c r="BKT210" s="28"/>
      <c r="BKU210" s="28"/>
      <c r="BKV210" s="28"/>
      <c r="BKW210" s="28"/>
      <c r="BKX210" s="28"/>
      <c r="BKY210" s="28"/>
      <c r="BKZ210" s="28"/>
      <c r="BLA210" s="28"/>
      <c r="BLB210" s="28"/>
      <c r="BLC210" s="28"/>
      <c r="BLD210" s="28"/>
      <c r="BLE210" s="28"/>
      <c r="BLF210" s="28"/>
      <c r="BLG210" s="28"/>
      <c r="BLH210" s="28"/>
      <c r="BLI210" s="28"/>
      <c r="BLJ210" s="28"/>
      <c r="BLK210" s="28"/>
      <c r="BLL210" s="28"/>
      <c r="BLM210" s="28"/>
      <c r="BLN210" s="28"/>
      <c r="BLO210" s="28"/>
      <c r="BLP210" s="28"/>
      <c r="BLQ210" s="28"/>
      <c r="BLR210" s="28"/>
      <c r="BLS210" s="28"/>
      <c r="BLT210" s="28"/>
      <c r="BLU210" s="28"/>
      <c r="BLV210" s="28"/>
      <c r="BLW210" s="28"/>
      <c r="BLX210" s="28"/>
      <c r="BLY210" s="28"/>
      <c r="BLZ210" s="28"/>
      <c r="BMA210" s="28"/>
      <c r="BMB210" s="28"/>
      <c r="BMC210" s="28"/>
      <c r="BMD210" s="28"/>
      <c r="BME210" s="28"/>
      <c r="BMF210" s="28"/>
      <c r="BMG210" s="28"/>
      <c r="BMH210" s="28"/>
      <c r="BMI210" s="28"/>
      <c r="BMJ210" s="28"/>
      <c r="BMK210" s="28"/>
      <c r="BML210" s="28"/>
      <c r="BMM210" s="28"/>
      <c r="BMN210" s="28"/>
      <c r="BMO210" s="28"/>
      <c r="BMP210" s="28"/>
      <c r="BMQ210" s="28"/>
      <c r="BMR210" s="28"/>
      <c r="BMS210" s="28"/>
      <c r="BMT210" s="28"/>
      <c r="BMU210" s="28"/>
      <c r="BMV210" s="28"/>
      <c r="BMW210" s="28"/>
      <c r="BMX210" s="28"/>
      <c r="BMY210" s="28"/>
      <c r="BMZ210" s="28"/>
      <c r="BNA210" s="28"/>
      <c r="BNB210" s="28"/>
      <c r="BNC210" s="28"/>
      <c r="BND210" s="28"/>
      <c r="BNE210" s="28"/>
      <c r="BNF210" s="28"/>
      <c r="BNG210" s="28"/>
      <c r="BNH210" s="28"/>
      <c r="BNI210" s="28"/>
      <c r="BNJ210" s="28"/>
      <c r="BNK210" s="28"/>
      <c r="BNL210" s="28"/>
      <c r="BNM210" s="28"/>
      <c r="BNN210" s="28"/>
      <c r="BNO210" s="28"/>
      <c r="BNP210" s="28"/>
      <c r="BNQ210" s="28"/>
      <c r="BNR210" s="28"/>
      <c r="BNS210" s="28"/>
      <c r="BNT210" s="28"/>
      <c r="BNU210" s="28"/>
      <c r="BNV210" s="28"/>
      <c r="BNW210" s="28"/>
      <c r="BNX210" s="28"/>
      <c r="BNY210" s="28"/>
      <c r="BNZ210" s="28"/>
      <c r="BOA210" s="28"/>
      <c r="BOB210" s="28"/>
      <c r="BOC210" s="28"/>
      <c r="BOD210" s="28"/>
      <c r="BOE210" s="28"/>
      <c r="BOF210" s="28"/>
      <c r="BOG210" s="28"/>
      <c r="BOH210" s="28"/>
      <c r="BOI210" s="28"/>
      <c r="BOJ210" s="28"/>
      <c r="BOK210" s="28"/>
      <c r="BOL210" s="28"/>
      <c r="BOM210" s="28"/>
      <c r="BON210" s="28"/>
      <c r="BOO210" s="28"/>
      <c r="BOP210" s="28"/>
      <c r="BOQ210" s="28"/>
      <c r="BOR210" s="28"/>
      <c r="BOS210" s="28"/>
      <c r="BOT210" s="28"/>
      <c r="BOU210" s="28"/>
      <c r="BOV210" s="28"/>
      <c r="BOW210" s="28"/>
      <c r="BOX210" s="28"/>
      <c r="BOY210" s="28"/>
      <c r="BOZ210" s="28"/>
      <c r="BPA210" s="28"/>
      <c r="BPB210" s="28"/>
      <c r="BPC210" s="28"/>
      <c r="BPD210" s="28"/>
      <c r="BPE210" s="28"/>
      <c r="BPF210" s="28"/>
      <c r="BPG210" s="28"/>
      <c r="BPH210" s="28"/>
      <c r="BPI210" s="28"/>
      <c r="BPJ210" s="28"/>
      <c r="BPK210" s="28"/>
      <c r="BPL210" s="28"/>
      <c r="BPM210" s="28"/>
      <c r="BPN210" s="28"/>
      <c r="BPO210" s="28"/>
      <c r="BPP210" s="28"/>
      <c r="BPQ210" s="28"/>
      <c r="BPR210" s="28"/>
      <c r="BPS210" s="28"/>
      <c r="BPT210" s="28"/>
      <c r="BPU210" s="28"/>
      <c r="BPV210" s="28"/>
      <c r="BPW210" s="28"/>
      <c r="BPX210" s="28"/>
      <c r="BPY210" s="28"/>
      <c r="BPZ210" s="28"/>
      <c r="BQA210" s="28"/>
      <c r="BQB210" s="28"/>
      <c r="BQC210" s="28"/>
      <c r="BQD210" s="28"/>
      <c r="BQE210" s="28"/>
      <c r="BQF210" s="28"/>
      <c r="BQG210" s="28"/>
      <c r="BQH210" s="28"/>
      <c r="BQI210" s="28"/>
      <c r="BQJ210" s="28"/>
      <c r="BQK210" s="28"/>
      <c r="BQL210" s="28"/>
      <c r="BQM210" s="28"/>
      <c r="BQN210" s="28"/>
      <c r="BQO210" s="28"/>
      <c r="BQP210" s="28"/>
      <c r="BQQ210" s="28"/>
      <c r="BQR210" s="28"/>
      <c r="BQS210" s="28"/>
      <c r="BQT210" s="28"/>
      <c r="BQU210" s="28"/>
      <c r="BQV210" s="28"/>
      <c r="BQW210" s="28"/>
      <c r="BQX210" s="28"/>
      <c r="BQY210" s="28"/>
      <c r="BQZ210" s="28"/>
      <c r="BRA210" s="28"/>
      <c r="BRB210" s="28"/>
      <c r="BRC210" s="28"/>
      <c r="BRD210" s="28"/>
      <c r="BRE210" s="28"/>
      <c r="BRF210" s="28"/>
      <c r="BRG210" s="28"/>
      <c r="BRH210" s="28"/>
      <c r="BRI210" s="28"/>
      <c r="BRJ210" s="28"/>
      <c r="BRK210" s="28"/>
      <c r="BRL210" s="28"/>
      <c r="BRM210" s="28"/>
      <c r="BRN210" s="28"/>
      <c r="BRO210" s="28"/>
      <c r="BRP210" s="28"/>
      <c r="BRQ210" s="28"/>
      <c r="BRR210" s="28"/>
      <c r="BRS210" s="28"/>
      <c r="BRT210" s="28"/>
      <c r="BRU210" s="28"/>
      <c r="BRV210" s="28"/>
      <c r="BRW210" s="28"/>
      <c r="BRX210" s="28"/>
      <c r="BRY210" s="28"/>
      <c r="BRZ210" s="28"/>
      <c r="BSA210" s="28"/>
      <c r="BSB210" s="28"/>
      <c r="BSC210" s="28"/>
      <c r="BSD210" s="28"/>
      <c r="BSE210" s="28"/>
      <c r="BSF210" s="28"/>
      <c r="BSG210" s="28"/>
      <c r="BSH210" s="28"/>
      <c r="BSI210" s="28"/>
      <c r="BSJ210" s="28"/>
      <c r="BSK210" s="28"/>
      <c r="BSL210" s="28"/>
      <c r="BSM210" s="28"/>
      <c r="BSN210" s="28"/>
      <c r="BSO210" s="28"/>
      <c r="BSP210" s="28"/>
      <c r="BSQ210" s="28"/>
      <c r="BSR210" s="28"/>
      <c r="BSS210" s="28"/>
      <c r="BST210" s="28"/>
      <c r="BSU210" s="28"/>
      <c r="BSV210" s="28"/>
      <c r="BSW210" s="28"/>
      <c r="BSX210" s="28"/>
      <c r="BSY210" s="28"/>
      <c r="BSZ210" s="28"/>
      <c r="BTA210" s="28"/>
      <c r="BTB210" s="28"/>
      <c r="BTC210" s="28"/>
      <c r="BTD210" s="28"/>
      <c r="BTE210" s="28"/>
      <c r="BTF210" s="28"/>
      <c r="BTG210" s="28"/>
      <c r="BTH210" s="28"/>
      <c r="BTI210" s="28"/>
      <c r="BTJ210" s="28"/>
      <c r="BTK210" s="28"/>
      <c r="BTL210" s="28"/>
      <c r="BTM210" s="28"/>
      <c r="BTN210" s="28"/>
      <c r="BTO210" s="28"/>
      <c r="BTP210" s="28"/>
      <c r="BTQ210" s="28"/>
      <c r="BTR210" s="28"/>
      <c r="BTS210" s="28"/>
      <c r="BTT210" s="28"/>
      <c r="BTU210" s="28"/>
      <c r="BTV210" s="28"/>
      <c r="BTW210" s="28"/>
      <c r="BTX210" s="28"/>
      <c r="BTY210" s="28"/>
      <c r="BTZ210" s="28"/>
      <c r="BUA210" s="28"/>
      <c r="BUB210" s="28"/>
      <c r="BUC210" s="28"/>
      <c r="BUD210" s="28"/>
      <c r="BUE210" s="28"/>
      <c r="BUF210" s="28"/>
      <c r="BUG210" s="28"/>
      <c r="BUH210" s="28"/>
      <c r="BUI210" s="28"/>
      <c r="BUJ210" s="28"/>
      <c r="BUK210" s="28"/>
      <c r="BUL210" s="28"/>
      <c r="BUM210" s="28"/>
      <c r="BUN210" s="28"/>
      <c r="BUO210" s="28"/>
      <c r="BUP210" s="28"/>
      <c r="BUQ210" s="28"/>
      <c r="BUR210" s="28"/>
      <c r="BUS210" s="28"/>
      <c r="BUT210" s="28"/>
      <c r="BUU210" s="28"/>
      <c r="BUV210" s="28"/>
      <c r="BUW210" s="28"/>
      <c r="BUX210" s="28"/>
      <c r="BUY210" s="28"/>
      <c r="BUZ210" s="28"/>
      <c r="BVA210" s="28"/>
      <c r="BVB210" s="28"/>
      <c r="BVC210" s="28"/>
      <c r="BVD210" s="28"/>
      <c r="BVE210" s="28"/>
      <c r="BVF210" s="28"/>
      <c r="BVG210" s="28"/>
      <c r="BVH210" s="28"/>
      <c r="BVI210" s="28"/>
      <c r="BVJ210" s="28"/>
      <c r="BVK210" s="28"/>
      <c r="BVL210" s="28"/>
      <c r="BVM210" s="28"/>
      <c r="BVN210" s="28"/>
      <c r="BVO210" s="28"/>
      <c r="BVP210" s="28"/>
      <c r="BVQ210" s="28"/>
      <c r="BVR210" s="28"/>
      <c r="BVS210" s="28"/>
      <c r="BVT210" s="28"/>
      <c r="BVU210" s="28"/>
      <c r="BVV210" s="28"/>
      <c r="BVW210" s="28"/>
      <c r="BVX210" s="28"/>
      <c r="BVY210" s="28"/>
      <c r="BVZ210" s="28"/>
      <c r="BWA210" s="28"/>
      <c r="BWB210" s="28"/>
      <c r="BWC210" s="28"/>
      <c r="BWD210" s="28"/>
      <c r="BWE210" s="28"/>
      <c r="BWF210" s="28"/>
      <c r="BWG210" s="28"/>
      <c r="BWH210" s="28"/>
      <c r="BWI210" s="28"/>
      <c r="BWJ210" s="28"/>
      <c r="BWK210" s="28"/>
      <c r="BWL210" s="28"/>
      <c r="BWM210" s="28"/>
      <c r="BWN210" s="28"/>
      <c r="BWO210" s="28"/>
      <c r="BWP210" s="28"/>
      <c r="BWQ210" s="28"/>
      <c r="BWR210" s="28"/>
      <c r="BWS210" s="28"/>
      <c r="BWT210" s="28"/>
      <c r="BWU210" s="28"/>
      <c r="BWV210" s="28"/>
      <c r="BWW210" s="28"/>
      <c r="BWX210" s="28"/>
      <c r="BWY210" s="28"/>
      <c r="BWZ210" s="28"/>
      <c r="BXA210" s="28"/>
      <c r="BXB210" s="28"/>
      <c r="BXC210" s="28"/>
      <c r="BXD210" s="28"/>
      <c r="BXE210" s="28"/>
      <c r="BXF210" s="28"/>
      <c r="BXG210" s="28"/>
      <c r="BXH210" s="28"/>
      <c r="BXI210" s="28"/>
      <c r="BXJ210" s="28"/>
      <c r="BXK210" s="28"/>
      <c r="BXL210" s="28"/>
      <c r="BXM210" s="28"/>
      <c r="BXN210" s="28"/>
      <c r="BXO210" s="28"/>
      <c r="BXP210" s="28"/>
      <c r="BXQ210" s="28"/>
      <c r="BXR210" s="28"/>
      <c r="BXS210" s="28"/>
      <c r="BXT210" s="28"/>
      <c r="BXU210" s="28"/>
      <c r="BXV210" s="28"/>
      <c r="BXW210" s="28"/>
      <c r="BXX210" s="28"/>
      <c r="BXY210" s="28"/>
      <c r="BXZ210" s="28"/>
      <c r="BYA210" s="28"/>
      <c r="BYB210" s="28"/>
      <c r="BYC210" s="28"/>
      <c r="BYD210" s="28"/>
      <c r="BYE210" s="28"/>
      <c r="BYF210" s="28"/>
      <c r="BYG210" s="28"/>
      <c r="BYH210" s="28"/>
      <c r="BYI210" s="28"/>
      <c r="BYJ210" s="28"/>
      <c r="BYK210" s="28"/>
      <c r="BYL210" s="28"/>
      <c r="BYM210" s="28"/>
      <c r="BYN210" s="28"/>
      <c r="BYO210" s="28"/>
      <c r="BYP210" s="28"/>
      <c r="BYQ210" s="28"/>
      <c r="BYR210" s="28"/>
      <c r="BYS210" s="28"/>
      <c r="BYT210" s="28"/>
      <c r="BYU210" s="28"/>
      <c r="BYV210" s="28"/>
      <c r="BYW210" s="28"/>
      <c r="BYX210" s="28"/>
      <c r="BYY210" s="28"/>
      <c r="BYZ210" s="28"/>
      <c r="BZA210" s="28"/>
      <c r="BZB210" s="28"/>
      <c r="BZC210" s="28"/>
      <c r="BZD210" s="28"/>
      <c r="BZE210" s="28"/>
      <c r="BZF210" s="28"/>
      <c r="BZG210" s="28"/>
      <c r="BZH210" s="28"/>
      <c r="BZI210" s="28"/>
      <c r="BZJ210" s="28"/>
      <c r="BZK210" s="28"/>
      <c r="BZL210" s="28"/>
      <c r="BZM210" s="28"/>
      <c r="BZN210" s="28"/>
      <c r="BZO210" s="28"/>
      <c r="BZP210" s="28"/>
      <c r="BZQ210" s="28"/>
      <c r="BZR210" s="28"/>
      <c r="BZS210" s="28"/>
      <c r="BZT210" s="28"/>
      <c r="BZU210" s="28"/>
      <c r="BZV210" s="28"/>
      <c r="BZW210" s="28"/>
      <c r="BZX210" s="28"/>
      <c r="BZY210" s="28"/>
      <c r="BZZ210" s="28"/>
      <c r="CAA210" s="28"/>
      <c r="CAB210" s="28"/>
      <c r="CAC210" s="28"/>
      <c r="CAD210" s="28"/>
      <c r="CAE210" s="28"/>
      <c r="CAF210" s="28"/>
      <c r="CAG210" s="28"/>
      <c r="CAH210" s="28"/>
      <c r="CAI210" s="28"/>
      <c r="CAJ210" s="28"/>
      <c r="CAK210" s="28"/>
      <c r="CAL210" s="28"/>
      <c r="CAM210" s="28"/>
      <c r="CAN210" s="28"/>
      <c r="CAO210" s="28"/>
      <c r="CAP210" s="28"/>
      <c r="CAQ210" s="28"/>
      <c r="CAR210" s="28"/>
      <c r="CAS210" s="28"/>
      <c r="CAT210" s="28"/>
      <c r="CAU210" s="28"/>
      <c r="CAV210" s="28"/>
      <c r="CAW210" s="28"/>
      <c r="CAX210" s="28"/>
      <c r="CAY210" s="28"/>
      <c r="CAZ210" s="28"/>
      <c r="CBA210" s="28"/>
      <c r="CBB210" s="28"/>
      <c r="CBC210" s="28"/>
      <c r="CBD210" s="28"/>
      <c r="CBE210" s="28"/>
      <c r="CBF210" s="28"/>
      <c r="CBG210" s="28"/>
      <c r="CBH210" s="28"/>
      <c r="CBI210" s="28"/>
      <c r="CBJ210" s="28"/>
      <c r="CBK210" s="28"/>
      <c r="CBL210" s="28"/>
      <c r="CBM210" s="28"/>
      <c r="CBN210" s="28"/>
      <c r="CBO210" s="28"/>
      <c r="CBP210" s="28"/>
      <c r="CBQ210" s="28"/>
      <c r="CBR210" s="28"/>
      <c r="CBS210" s="28"/>
      <c r="CBT210" s="28"/>
      <c r="CBU210" s="28"/>
      <c r="CBV210" s="28"/>
      <c r="CBW210" s="28"/>
      <c r="CBX210" s="28"/>
      <c r="CBY210" s="28"/>
      <c r="CBZ210" s="28"/>
      <c r="CCA210" s="28"/>
      <c r="CCB210" s="28"/>
      <c r="CCC210" s="28"/>
      <c r="CCD210" s="28"/>
      <c r="CCE210" s="28"/>
      <c r="CCF210" s="28"/>
      <c r="CCG210" s="28"/>
      <c r="CCH210" s="28"/>
      <c r="CCI210" s="28"/>
      <c r="CCJ210" s="28"/>
      <c r="CCK210" s="28"/>
      <c r="CCL210" s="28"/>
      <c r="CCM210" s="28"/>
      <c r="CCN210" s="28"/>
      <c r="CCO210" s="28"/>
      <c r="CCP210" s="28"/>
      <c r="CCQ210" s="28"/>
      <c r="CCR210" s="28"/>
      <c r="CCS210" s="28"/>
      <c r="CCT210" s="28"/>
      <c r="CCU210" s="28"/>
      <c r="CCV210" s="28"/>
      <c r="CCW210" s="28"/>
      <c r="CCX210" s="28"/>
      <c r="CCY210" s="28"/>
      <c r="CCZ210" s="28"/>
      <c r="CDA210" s="28"/>
      <c r="CDB210" s="28"/>
      <c r="CDC210" s="28"/>
      <c r="CDD210" s="28"/>
      <c r="CDE210" s="28"/>
      <c r="CDF210" s="28"/>
      <c r="CDG210" s="28"/>
      <c r="CDH210" s="28"/>
      <c r="CDI210" s="28"/>
      <c r="CDJ210" s="28"/>
      <c r="CDK210" s="28"/>
      <c r="CDL210" s="28"/>
      <c r="CDM210" s="28"/>
      <c r="CDN210" s="28"/>
      <c r="CDO210" s="28"/>
      <c r="CDP210" s="28"/>
      <c r="CDQ210" s="28"/>
      <c r="CDR210" s="28"/>
      <c r="CDS210" s="28"/>
      <c r="CDT210" s="28"/>
      <c r="CDU210" s="28"/>
      <c r="CDV210" s="28"/>
      <c r="CDW210" s="28"/>
      <c r="CDX210" s="28"/>
      <c r="CDY210" s="28"/>
      <c r="CDZ210" s="28"/>
      <c r="CEA210" s="28"/>
      <c r="CEB210" s="28"/>
      <c r="CEC210" s="28"/>
      <c r="CED210" s="28"/>
      <c r="CEE210" s="28"/>
      <c r="CEF210" s="28"/>
      <c r="CEG210" s="28"/>
      <c r="CEH210" s="28"/>
      <c r="CEI210" s="28"/>
      <c r="CEJ210" s="28"/>
      <c r="CEK210" s="28"/>
      <c r="CEL210" s="28"/>
      <c r="CEM210" s="28"/>
      <c r="CEN210" s="28"/>
      <c r="CEO210" s="28"/>
      <c r="CEP210" s="28"/>
      <c r="CEQ210" s="28"/>
      <c r="CER210" s="28"/>
      <c r="CES210" s="28"/>
      <c r="CET210" s="28"/>
      <c r="CEU210" s="28"/>
      <c r="CEV210" s="28"/>
      <c r="CEW210" s="28"/>
      <c r="CEX210" s="28"/>
      <c r="CEY210" s="28"/>
      <c r="CEZ210" s="28"/>
      <c r="CFA210" s="28"/>
      <c r="CFB210" s="28"/>
      <c r="CFC210" s="28"/>
      <c r="CFD210" s="28"/>
      <c r="CFE210" s="28"/>
      <c r="CFF210" s="28"/>
      <c r="CFG210" s="28"/>
      <c r="CFH210" s="28"/>
      <c r="CFI210" s="28"/>
      <c r="CFJ210" s="28"/>
      <c r="CFK210" s="28"/>
      <c r="CFL210" s="28"/>
      <c r="CFM210" s="28"/>
      <c r="CFN210" s="28"/>
      <c r="CFO210" s="28"/>
      <c r="CFP210" s="28"/>
      <c r="CFQ210" s="28"/>
      <c r="CFR210" s="28"/>
      <c r="CFS210" s="28"/>
      <c r="CFT210" s="28"/>
      <c r="CFU210" s="28"/>
      <c r="CFV210" s="28"/>
      <c r="CFW210" s="28"/>
      <c r="CFX210" s="28"/>
      <c r="CFY210" s="28"/>
      <c r="CFZ210" s="28"/>
      <c r="CGA210" s="28"/>
      <c r="CGB210" s="28"/>
      <c r="CGC210" s="28"/>
      <c r="CGD210" s="28"/>
      <c r="CGE210" s="28"/>
      <c r="CGF210" s="28"/>
      <c r="CGG210" s="28"/>
      <c r="CGH210" s="28"/>
      <c r="CGI210" s="28"/>
      <c r="CGJ210" s="28"/>
      <c r="CGK210" s="28"/>
      <c r="CGL210" s="28"/>
      <c r="CGM210" s="28"/>
      <c r="CGN210" s="28"/>
      <c r="CGO210" s="28"/>
      <c r="CGP210" s="28"/>
      <c r="CGQ210" s="28"/>
      <c r="CGR210" s="28"/>
      <c r="CGS210" s="28"/>
      <c r="CGT210" s="28"/>
      <c r="CGU210" s="28"/>
      <c r="CGV210" s="28"/>
      <c r="CGW210" s="28"/>
      <c r="CGX210" s="28"/>
      <c r="CGY210" s="28"/>
      <c r="CGZ210" s="28"/>
      <c r="CHA210" s="28"/>
      <c r="CHB210" s="28"/>
      <c r="CHC210" s="28"/>
      <c r="CHD210" s="28"/>
      <c r="CHE210" s="28"/>
      <c r="CHF210" s="28"/>
      <c r="CHG210" s="28"/>
      <c r="CHH210" s="28"/>
      <c r="CHI210" s="28"/>
      <c r="CHJ210" s="28"/>
      <c r="CHK210" s="28"/>
      <c r="CHL210" s="28"/>
      <c r="CHM210" s="28"/>
      <c r="CHN210" s="28"/>
      <c r="CHO210" s="28"/>
      <c r="CHP210" s="28"/>
      <c r="CHQ210" s="28"/>
      <c r="CHR210" s="28"/>
      <c r="CHS210" s="28"/>
      <c r="CHT210" s="28"/>
      <c r="CHU210" s="28"/>
      <c r="CHV210" s="28"/>
      <c r="CHW210" s="28"/>
      <c r="CHX210" s="28"/>
      <c r="CHY210" s="28"/>
      <c r="CHZ210" s="28"/>
      <c r="CIA210" s="28"/>
      <c r="CIB210" s="28"/>
      <c r="CIC210" s="28"/>
      <c r="CID210" s="28"/>
      <c r="CIE210" s="28"/>
      <c r="CIF210" s="28"/>
      <c r="CIG210" s="28"/>
      <c r="CIH210" s="28"/>
      <c r="CII210" s="28"/>
      <c r="CIJ210" s="28"/>
      <c r="CIK210" s="28"/>
      <c r="CIL210" s="28"/>
      <c r="CIM210" s="28"/>
      <c r="CIN210" s="28"/>
      <c r="CIO210" s="28"/>
      <c r="CIP210" s="28"/>
      <c r="CIQ210" s="28"/>
      <c r="CIR210" s="28"/>
      <c r="CIS210" s="28"/>
      <c r="CIT210" s="28"/>
      <c r="CIU210" s="28"/>
      <c r="CIV210" s="28"/>
      <c r="CIW210" s="28"/>
      <c r="CIX210" s="28"/>
      <c r="CIY210" s="28"/>
      <c r="CIZ210" s="28"/>
      <c r="CJA210" s="28"/>
      <c r="CJB210" s="28"/>
      <c r="CJC210" s="28"/>
      <c r="CJD210" s="28"/>
      <c r="CJE210" s="28"/>
      <c r="CJF210" s="28"/>
      <c r="CJG210" s="28"/>
      <c r="CJH210" s="28"/>
      <c r="CJI210" s="28"/>
      <c r="CJJ210" s="28"/>
      <c r="CJK210" s="28"/>
      <c r="CJL210" s="28"/>
      <c r="CJM210" s="28"/>
      <c r="CJN210" s="28"/>
      <c r="CJO210" s="28"/>
      <c r="CJP210" s="28"/>
      <c r="CJQ210" s="28"/>
      <c r="CJR210" s="28"/>
      <c r="CJS210" s="28"/>
      <c r="CJT210" s="28"/>
      <c r="CJU210" s="28"/>
      <c r="CJV210" s="28"/>
      <c r="CJW210" s="28"/>
      <c r="CJX210" s="28"/>
      <c r="CJY210" s="28"/>
      <c r="CJZ210" s="28"/>
      <c r="CKA210" s="28"/>
      <c r="CKB210" s="28"/>
      <c r="CKC210" s="28"/>
      <c r="CKD210" s="28"/>
      <c r="CKE210" s="28"/>
      <c r="CKF210" s="28"/>
      <c r="CKG210" s="28"/>
      <c r="CKH210" s="28"/>
      <c r="CKI210" s="28"/>
      <c r="CKJ210" s="28"/>
      <c r="CKK210" s="28"/>
      <c r="CKL210" s="28"/>
      <c r="CKM210" s="28"/>
      <c r="CKN210" s="28"/>
      <c r="CKO210" s="28"/>
      <c r="CKP210" s="28"/>
      <c r="CKQ210" s="28"/>
      <c r="CKR210" s="28"/>
      <c r="CKS210" s="28"/>
      <c r="CKT210" s="28"/>
      <c r="CKU210" s="28"/>
      <c r="CKV210" s="28"/>
      <c r="CKW210" s="28"/>
      <c r="CKX210" s="28"/>
      <c r="CKY210" s="28"/>
      <c r="CKZ210" s="28"/>
      <c r="CLA210" s="28"/>
      <c r="CLB210" s="28"/>
      <c r="CLC210" s="28"/>
      <c r="CLD210" s="28"/>
      <c r="CLE210" s="28"/>
      <c r="CLF210" s="28"/>
      <c r="CLG210" s="28"/>
      <c r="CLH210" s="28"/>
      <c r="CLI210" s="28"/>
      <c r="CLJ210" s="28"/>
      <c r="CLK210" s="28"/>
      <c r="CLL210" s="28"/>
      <c r="CLM210" s="28"/>
      <c r="CLN210" s="28"/>
      <c r="CLO210" s="28"/>
      <c r="CLP210" s="28"/>
      <c r="CLQ210" s="28"/>
      <c r="CLR210" s="28"/>
      <c r="CLS210" s="28"/>
      <c r="CLT210" s="28"/>
      <c r="CLU210" s="28"/>
      <c r="CLV210" s="28"/>
      <c r="CLW210" s="28"/>
      <c r="CLX210" s="28"/>
      <c r="CLY210" s="28"/>
      <c r="CLZ210" s="28"/>
      <c r="CMA210" s="28"/>
      <c r="CMB210" s="28"/>
      <c r="CMC210" s="28"/>
      <c r="CMD210" s="28"/>
      <c r="CME210" s="28"/>
      <c r="CMF210" s="28"/>
      <c r="CMG210" s="28"/>
      <c r="CMH210" s="28"/>
      <c r="CMI210" s="28"/>
      <c r="CMJ210" s="28"/>
      <c r="CMK210" s="28"/>
      <c r="CML210" s="28"/>
      <c r="CMM210" s="28"/>
      <c r="CMN210" s="28"/>
      <c r="CMO210" s="28"/>
      <c r="CMP210" s="28"/>
      <c r="CMQ210" s="28"/>
      <c r="CMR210" s="28"/>
      <c r="CMS210" s="28"/>
      <c r="CMT210" s="28"/>
      <c r="CMU210" s="28"/>
      <c r="CMV210" s="28"/>
      <c r="CMW210" s="28"/>
      <c r="CMX210" s="28"/>
      <c r="CMY210" s="28"/>
      <c r="CMZ210" s="28"/>
      <c r="CNA210" s="28"/>
      <c r="CNB210" s="28"/>
      <c r="CNC210" s="28"/>
      <c r="CND210" s="28"/>
      <c r="CNE210" s="28"/>
      <c r="CNF210" s="28"/>
      <c r="CNG210" s="28"/>
      <c r="CNH210" s="28"/>
      <c r="CNI210" s="28"/>
      <c r="CNJ210" s="28"/>
      <c r="CNK210" s="28"/>
      <c r="CNL210" s="28"/>
      <c r="CNM210" s="28"/>
      <c r="CNN210" s="28"/>
      <c r="CNO210" s="28"/>
      <c r="CNP210" s="28"/>
      <c r="CNQ210" s="28"/>
      <c r="CNR210" s="28"/>
      <c r="CNS210" s="28"/>
      <c r="CNT210" s="28"/>
      <c r="CNU210" s="28"/>
      <c r="CNV210" s="28"/>
      <c r="CNW210" s="28"/>
      <c r="CNX210" s="28"/>
      <c r="CNY210" s="28"/>
      <c r="CNZ210" s="28"/>
      <c r="COA210" s="28"/>
      <c r="COB210" s="28"/>
      <c r="COC210" s="28"/>
      <c r="COD210" s="28"/>
      <c r="COE210" s="28"/>
      <c r="COF210" s="28"/>
      <c r="COG210" s="28"/>
      <c r="COH210" s="28"/>
      <c r="COI210" s="28"/>
      <c r="COJ210" s="28"/>
      <c r="COK210" s="28"/>
      <c r="COL210" s="28"/>
      <c r="COM210" s="28"/>
      <c r="CON210" s="28"/>
      <c r="COO210" s="28"/>
      <c r="COP210" s="28"/>
      <c r="COQ210" s="28"/>
      <c r="COR210" s="28"/>
      <c r="COS210" s="28"/>
      <c r="COT210" s="28"/>
      <c r="COU210" s="28"/>
      <c r="COV210" s="28"/>
      <c r="COW210" s="28"/>
      <c r="COX210" s="28"/>
      <c r="COY210" s="28"/>
      <c r="COZ210" s="28"/>
      <c r="CPA210" s="28"/>
      <c r="CPB210" s="28"/>
      <c r="CPC210" s="28"/>
      <c r="CPD210" s="28"/>
      <c r="CPE210" s="28"/>
      <c r="CPF210" s="28"/>
      <c r="CPG210" s="28"/>
      <c r="CPH210" s="28"/>
      <c r="CPI210" s="28"/>
      <c r="CPJ210" s="28"/>
      <c r="CPK210" s="28"/>
      <c r="CPL210" s="28"/>
      <c r="CPM210" s="28"/>
      <c r="CPN210" s="28"/>
      <c r="CPO210" s="28"/>
      <c r="CPP210" s="28"/>
      <c r="CPQ210" s="28"/>
      <c r="CPR210" s="28"/>
      <c r="CPS210" s="28"/>
      <c r="CPT210" s="28"/>
      <c r="CPU210" s="28"/>
      <c r="CPV210" s="28"/>
      <c r="CPW210" s="28"/>
      <c r="CPX210" s="28"/>
      <c r="CPY210" s="28"/>
      <c r="CPZ210" s="28"/>
      <c r="CQA210" s="28"/>
      <c r="CQB210" s="28"/>
      <c r="CQC210" s="28"/>
      <c r="CQD210" s="28"/>
      <c r="CQE210" s="28"/>
      <c r="CQF210" s="28"/>
      <c r="CQG210" s="28"/>
      <c r="CQH210" s="28"/>
      <c r="CQI210" s="28"/>
      <c r="CQJ210" s="28"/>
      <c r="CQK210" s="28"/>
      <c r="CQL210" s="28"/>
      <c r="CQM210" s="28"/>
      <c r="CQN210" s="28"/>
      <c r="CQO210" s="28"/>
      <c r="CQP210" s="28"/>
      <c r="CQQ210" s="28"/>
      <c r="CQR210" s="28"/>
      <c r="CQS210" s="28"/>
      <c r="CQT210" s="28"/>
      <c r="CQU210" s="28"/>
      <c r="CQV210" s="28"/>
      <c r="CQW210" s="28"/>
      <c r="CQX210" s="28"/>
      <c r="CQY210" s="28"/>
      <c r="CQZ210" s="28"/>
      <c r="CRA210" s="28"/>
      <c r="CRB210" s="28"/>
      <c r="CRC210" s="28"/>
      <c r="CRD210" s="28"/>
      <c r="CRE210" s="28"/>
      <c r="CRF210" s="28"/>
      <c r="CRG210" s="28"/>
      <c r="CRH210" s="28"/>
      <c r="CRI210" s="28"/>
      <c r="CRJ210" s="28"/>
      <c r="CRK210" s="28"/>
      <c r="CRL210" s="28"/>
      <c r="CRM210" s="28"/>
      <c r="CRN210" s="28"/>
      <c r="CRO210" s="28"/>
      <c r="CRP210" s="28"/>
      <c r="CRQ210" s="28"/>
      <c r="CRR210" s="28"/>
      <c r="CRS210" s="28"/>
      <c r="CRT210" s="28"/>
      <c r="CRU210" s="28"/>
      <c r="CRV210" s="28"/>
      <c r="CRW210" s="28"/>
      <c r="CRX210" s="28"/>
      <c r="CRY210" s="28"/>
      <c r="CRZ210" s="28"/>
      <c r="CSA210" s="28"/>
      <c r="CSB210" s="28"/>
      <c r="CSC210" s="28"/>
      <c r="CSD210" s="28"/>
      <c r="CSE210" s="28"/>
      <c r="CSF210" s="28"/>
      <c r="CSG210" s="28"/>
      <c r="CSH210" s="28"/>
      <c r="CSI210" s="28"/>
      <c r="CSJ210" s="28"/>
      <c r="CSK210" s="28"/>
      <c r="CSL210" s="28"/>
      <c r="CSM210" s="28"/>
      <c r="CSN210" s="28"/>
      <c r="CSO210" s="28"/>
      <c r="CSP210" s="28"/>
      <c r="CSQ210" s="28"/>
      <c r="CSR210" s="28"/>
      <c r="CSS210" s="28"/>
      <c r="CST210" s="28"/>
      <c r="CSU210" s="28"/>
      <c r="CSV210" s="28"/>
      <c r="CSW210" s="28"/>
      <c r="CSX210" s="28"/>
      <c r="CSY210" s="28"/>
      <c r="CSZ210" s="28"/>
      <c r="CTA210" s="28"/>
      <c r="CTB210" s="28"/>
      <c r="CTC210" s="28"/>
      <c r="CTD210" s="28"/>
      <c r="CTE210" s="28"/>
      <c r="CTF210" s="28"/>
      <c r="CTG210" s="28"/>
      <c r="CTH210" s="28"/>
      <c r="CTI210" s="28"/>
      <c r="CTJ210" s="28"/>
      <c r="CTK210" s="28"/>
      <c r="CTL210" s="28"/>
      <c r="CTM210" s="28"/>
      <c r="CTN210" s="28"/>
      <c r="CTO210" s="28"/>
      <c r="CTP210" s="28"/>
      <c r="CTQ210" s="28"/>
      <c r="CTR210" s="28"/>
      <c r="CTS210" s="28"/>
      <c r="CTT210" s="28"/>
      <c r="CTU210" s="28"/>
      <c r="CTV210" s="28"/>
      <c r="CTW210" s="28"/>
      <c r="CTX210" s="28"/>
      <c r="CTY210" s="28"/>
      <c r="CTZ210" s="28"/>
      <c r="CUA210" s="28"/>
      <c r="CUB210" s="28"/>
      <c r="CUC210" s="28"/>
      <c r="CUD210" s="28"/>
      <c r="CUE210" s="28"/>
      <c r="CUF210" s="28"/>
      <c r="CUG210" s="28"/>
      <c r="CUH210" s="28"/>
      <c r="CUI210" s="28"/>
      <c r="CUJ210" s="28"/>
      <c r="CUK210" s="28"/>
      <c r="CUL210" s="28"/>
      <c r="CUM210" s="28"/>
      <c r="CUN210" s="28"/>
      <c r="CUO210" s="28"/>
      <c r="CUP210" s="28"/>
      <c r="CUQ210" s="28"/>
      <c r="CUR210" s="28"/>
      <c r="CUS210" s="28"/>
      <c r="CUT210" s="28"/>
      <c r="CUU210" s="28"/>
      <c r="CUV210" s="28"/>
      <c r="CUW210" s="28"/>
      <c r="CUX210" s="28"/>
      <c r="CUY210" s="28"/>
      <c r="CUZ210" s="28"/>
      <c r="CVA210" s="28"/>
      <c r="CVB210" s="28"/>
      <c r="CVC210" s="28"/>
      <c r="CVD210" s="28"/>
      <c r="CVE210" s="28"/>
      <c r="CVF210" s="28"/>
      <c r="CVG210" s="28"/>
      <c r="CVH210" s="28"/>
      <c r="CVI210" s="28"/>
      <c r="CVJ210" s="28"/>
      <c r="CVK210" s="28"/>
      <c r="CVL210" s="28"/>
      <c r="CVM210" s="28"/>
      <c r="CVN210" s="28"/>
      <c r="CVO210" s="28"/>
      <c r="CVP210" s="28"/>
      <c r="CVQ210" s="28"/>
      <c r="CVR210" s="28"/>
      <c r="CVS210" s="28"/>
      <c r="CVT210" s="28"/>
      <c r="CVU210" s="28"/>
      <c r="CVV210" s="28"/>
      <c r="CVW210" s="28"/>
      <c r="CVX210" s="28"/>
      <c r="CVY210" s="28"/>
      <c r="CVZ210" s="28"/>
      <c r="CWA210" s="28"/>
      <c r="CWB210" s="28"/>
      <c r="CWC210" s="28"/>
      <c r="CWD210" s="28"/>
      <c r="CWE210" s="28"/>
      <c r="CWF210" s="28"/>
      <c r="CWG210" s="28"/>
      <c r="CWH210" s="28"/>
      <c r="CWI210" s="28"/>
      <c r="CWJ210" s="28"/>
      <c r="CWK210" s="28"/>
      <c r="CWL210" s="28"/>
      <c r="CWM210" s="28"/>
      <c r="CWN210" s="28"/>
      <c r="CWO210" s="28"/>
      <c r="CWP210" s="28"/>
      <c r="CWQ210" s="28"/>
      <c r="CWR210" s="28"/>
      <c r="CWS210" s="28"/>
      <c r="CWT210" s="28"/>
      <c r="CWU210" s="28"/>
      <c r="CWV210" s="28"/>
      <c r="CWW210" s="28"/>
      <c r="CWX210" s="28"/>
      <c r="CWY210" s="28"/>
      <c r="CWZ210" s="28"/>
      <c r="CXA210" s="28"/>
      <c r="CXB210" s="28"/>
      <c r="CXC210" s="28"/>
      <c r="CXD210" s="28"/>
      <c r="CXE210" s="28"/>
      <c r="CXF210" s="28"/>
      <c r="CXG210" s="28"/>
      <c r="CXH210" s="28"/>
      <c r="CXI210" s="28"/>
      <c r="CXJ210" s="28"/>
      <c r="CXK210" s="28"/>
      <c r="CXL210" s="28"/>
      <c r="CXM210" s="28"/>
      <c r="CXN210" s="28"/>
      <c r="CXO210" s="28"/>
      <c r="CXP210" s="28"/>
      <c r="CXQ210" s="28"/>
      <c r="CXR210" s="28"/>
      <c r="CXS210" s="28"/>
      <c r="CXT210" s="28"/>
      <c r="CXU210" s="28"/>
      <c r="CXV210" s="28"/>
      <c r="CXW210" s="28"/>
      <c r="CXX210" s="28"/>
      <c r="CXY210" s="28"/>
      <c r="CXZ210" s="28"/>
      <c r="CYA210" s="28"/>
      <c r="CYB210" s="28"/>
      <c r="CYC210" s="28"/>
      <c r="CYD210" s="28"/>
      <c r="CYE210" s="28"/>
      <c r="CYF210" s="28"/>
      <c r="CYG210" s="28"/>
      <c r="CYH210" s="28"/>
      <c r="CYI210" s="28"/>
      <c r="CYJ210" s="28"/>
      <c r="CYK210" s="28"/>
      <c r="CYL210" s="28"/>
      <c r="CYM210" s="28"/>
      <c r="CYN210" s="28"/>
      <c r="CYO210" s="28"/>
      <c r="CYP210" s="28"/>
      <c r="CYQ210" s="28"/>
      <c r="CYR210" s="28"/>
      <c r="CYS210" s="28"/>
      <c r="CYT210" s="28"/>
      <c r="CYU210" s="28"/>
      <c r="CYV210" s="28"/>
      <c r="CYW210" s="28"/>
      <c r="CYX210" s="28"/>
      <c r="CYY210" s="28"/>
      <c r="CYZ210" s="28"/>
      <c r="CZA210" s="28"/>
      <c r="CZB210" s="28"/>
      <c r="CZC210" s="28"/>
      <c r="CZD210" s="28"/>
      <c r="CZE210" s="28"/>
      <c r="CZF210" s="28"/>
      <c r="CZG210" s="28"/>
      <c r="CZH210" s="28"/>
      <c r="CZI210" s="28"/>
      <c r="CZJ210" s="28"/>
      <c r="CZK210" s="28"/>
      <c r="CZL210" s="28"/>
      <c r="CZM210" s="28"/>
      <c r="CZN210" s="28"/>
      <c r="CZO210" s="28"/>
      <c r="CZP210" s="28"/>
      <c r="CZQ210" s="28"/>
      <c r="CZR210" s="28"/>
      <c r="CZS210" s="28"/>
      <c r="CZT210" s="28"/>
      <c r="CZU210" s="28"/>
      <c r="CZV210" s="28"/>
      <c r="CZW210" s="28"/>
      <c r="CZX210" s="28"/>
      <c r="CZY210" s="28"/>
      <c r="CZZ210" s="28"/>
      <c r="DAA210" s="28"/>
      <c r="DAB210" s="28"/>
      <c r="DAC210" s="28"/>
      <c r="DAD210" s="28"/>
      <c r="DAE210" s="28"/>
      <c r="DAF210" s="28"/>
      <c r="DAG210" s="28"/>
      <c r="DAH210" s="28"/>
      <c r="DAI210" s="28"/>
      <c r="DAJ210" s="28"/>
      <c r="DAK210" s="28"/>
      <c r="DAL210" s="28"/>
      <c r="DAM210" s="28"/>
      <c r="DAN210" s="28"/>
      <c r="DAO210" s="28"/>
      <c r="DAP210" s="28"/>
      <c r="DAQ210" s="28"/>
      <c r="DAR210" s="28"/>
      <c r="DAS210" s="28"/>
      <c r="DAT210" s="28"/>
      <c r="DAU210" s="28"/>
      <c r="DAV210" s="28"/>
      <c r="DAW210" s="28"/>
      <c r="DAX210" s="28"/>
      <c r="DAY210" s="28"/>
      <c r="DAZ210" s="28"/>
      <c r="DBA210" s="28"/>
      <c r="DBB210" s="28"/>
      <c r="DBC210" s="28"/>
      <c r="DBD210" s="28"/>
      <c r="DBE210" s="28"/>
      <c r="DBF210" s="28"/>
      <c r="DBG210" s="28"/>
      <c r="DBH210" s="28"/>
      <c r="DBI210" s="28"/>
      <c r="DBJ210" s="28"/>
      <c r="DBK210" s="28"/>
      <c r="DBL210" s="28"/>
      <c r="DBM210" s="28"/>
      <c r="DBN210" s="28"/>
      <c r="DBO210" s="28"/>
      <c r="DBP210" s="28"/>
      <c r="DBQ210" s="28"/>
      <c r="DBR210" s="28"/>
      <c r="DBS210" s="28"/>
      <c r="DBT210" s="28"/>
      <c r="DBU210" s="28"/>
      <c r="DBV210" s="28"/>
      <c r="DBW210" s="28"/>
      <c r="DBX210" s="28"/>
      <c r="DBY210" s="28"/>
      <c r="DBZ210" s="28"/>
      <c r="DCA210" s="28"/>
      <c r="DCB210" s="28"/>
      <c r="DCC210" s="28"/>
      <c r="DCD210" s="28"/>
      <c r="DCE210" s="28"/>
      <c r="DCF210" s="28"/>
      <c r="DCG210" s="28"/>
      <c r="DCH210" s="28"/>
      <c r="DCI210" s="28"/>
      <c r="DCJ210" s="28"/>
      <c r="DCK210" s="28"/>
      <c r="DCL210" s="28"/>
      <c r="DCM210" s="28"/>
      <c r="DCN210" s="28"/>
      <c r="DCO210" s="28"/>
      <c r="DCP210" s="28"/>
      <c r="DCQ210" s="28"/>
      <c r="DCR210" s="28"/>
      <c r="DCS210" s="28"/>
      <c r="DCT210" s="28"/>
      <c r="DCU210" s="28"/>
      <c r="DCV210" s="28"/>
      <c r="DCW210" s="28"/>
      <c r="DCX210" s="28"/>
      <c r="DCY210" s="28"/>
      <c r="DCZ210" s="28"/>
      <c r="DDA210" s="28"/>
      <c r="DDB210" s="28"/>
      <c r="DDC210" s="28"/>
      <c r="DDD210" s="28"/>
      <c r="DDE210" s="28"/>
      <c r="DDF210" s="28"/>
      <c r="DDG210" s="28"/>
      <c r="DDH210" s="28"/>
      <c r="DDI210" s="28"/>
      <c r="DDJ210" s="28"/>
      <c r="DDK210" s="28"/>
      <c r="DDL210" s="28"/>
      <c r="DDM210" s="28"/>
      <c r="DDN210" s="28"/>
      <c r="DDO210" s="28"/>
      <c r="DDP210" s="28"/>
      <c r="DDQ210" s="28"/>
      <c r="DDR210" s="28"/>
      <c r="DDS210" s="28"/>
      <c r="DDT210" s="28"/>
      <c r="DDU210" s="28"/>
      <c r="DDV210" s="28"/>
      <c r="DDW210" s="28"/>
      <c r="DDX210" s="28"/>
      <c r="DDY210" s="28"/>
      <c r="DDZ210" s="28"/>
      <c r="DEA210" s="28"/>
      <c r="DEB210" s="28"/>
      <c r="DEC210" s="28"/>
      <c r="DED210" s="28"/>
      <c r="DEE210" s="28"/>
      <c r="DEF210" s="28"/>
      <c r="DEG210" s="28"/>
      <c r="DEH210" s="28"/>
      <c r="DEI210" s="28"/>
      <c r="DEJ210" s="28"/>
      <c r="DEK210" s="28"/>
      <c r="DEL210" s="28"/>
      <c r="DEM210" s="28"/>
      <c r="DEN210" s="28"/>
      <c r="DEO210" s="28"/>
      <c r="DEP210" s="28"/>
      <c r="DEQ210" s="28"/>
      <c r="DER210" s="28"/>
      <c r="DES210" s="28"/>
      <c r="DET210" s="28"/>
      <c r="DEU210" s="28"/>
      <c r="DEV210" s="28"/>
      <c r="DEW210" s="28"/>
      <c r="DEX210" s="28"/>
      <c r="DEY210" s="28"/>
      <c r="DEZ210" s="28"/>
      <c r="DFA210" s="28"/>
      <c r="DFB210" s="28"/>
      <c r="DFC210" s="28"/>
      <c r="DFD210" s="28"/>
      <c r="DFE210" s="28"/>
      <c r="DFF210" s="28"/>
      <c r="DFG210" s="28"/>
      <c r="DFH210" s="28"/>
      <c r="DFI210" s="28"/>
      <c r="DFJ210" s="28"/>
      <c r="DFK210" s="28"/>
      <c r="DFL210" s="28"/>
      <c r="DFM210" s="28"/>
      <c r="DFN210" s="28"/>
      <c r="DFO210" s="28"/>
      <c r="DFP210" s="28"/>
      <c r="DFQ210" s="28"/>
      <c r="DFR210" s="28"/>
      <c r="DFS210" s="28"/>
      <c r="DFT210" s="28"/>
      <c r="DFU210" s="28"/>
      <c r="DFV210" s="28"/>
      <c r="DFW210" s="28"/>
      <c r="DFX210" s="28"/>
      <c r="DFY210" s="28"/>
      <c r="DFZ210" s="28"/>
      <c r="DGA210" s="28"/>
      <c r="DGB210" s="28"/>
      <c r="DGC210" s="28"/>
      <c r="DGD210" s="28"/>
      <c r="DGE210" s="28"/>
      <c r="DGF210" s="28"/>
      <c r="DGG210" s="28"/>
      <c r="DGH210" s="28"/>
      <c r="DGI210" s="28"/>
      <c r="DGJ210" s="28"/>
      <c r="DGK210" s="28"/>
      <c r="DGL210" s="28"/>
      <c r="DGM210" s="28"/>
      <c r="DGN210" s="28"/>
      <c r="DGO210" s="28"/>
      <c r="DGP210" s="28"/>
      <c r="DGQ210" s="28"/>
      <c r="DGR210" s="28"/>
      <c r="DGS210" s="28"/>
      <c r="DGT210" s="28"/>
      <c r="DGU210" s="28"/>
      <c r="DGV210" s="28"/>
      <c r="DGW210" s="28"/>
      <c r="DGX210" s="28"/>
      <c r="DGY210" s="28"/>
      <c r="DGZ210" s="28"/>
      <c r="DHA210" s="28"/>
      <c r="DHB210" s="28"/>
      <c r="DHC210" s="28"/>
      <c r="DHD210" s="28"/>
      <c r="DHE210" s="28"/>
      <c r="DHF210" s="28"/>
      <c r="DHG210" s="28"/>
      <c r="DHH210" s="28"/>
      <c r="DHI210" s="28"/>
      <c r="DHJ210" s="28"/>
      <c r="DHK210" s="28"/>
      <c r="DHL210" s="28"/>
      <c r="DHM210" s="28"/>
      <c r="DHN210" s="28"/>
      <c r="DHO210" s="28"/>
      <c r="DHP210" s="28"/>
      <c r="DHQ210" s="28"/>
      <c r="DHR210" s="28"/>
      <c r="DHS210" s="28"/>
      <c r="DHT210" s="28"/>
      <c r="DHU210" s="28"/>
      <c r="DHV210" s="28"/>
      <c r="DHW210" s="28"/>
      <c r="DHX210" s="28"/>
      <c r="DHY210" s="28"/>
      <c r="DHZ210" s="28"/>
      <c r="DIA210" s="28"/>
      <c r="DIB210" s="28"/>
      <c r="DIC210" s="28"/>
      <c r="DID210" s="28"/>
      <c r="DIE210" s="28"/>
      <c r="DIF210" s="28"/>
      <c r="DIG210" s="28"/>
      <c r="DIH210" s="28"/>
      <c r="DII210" s="28"/>
      <c r="DIJ210" s="28"/>
      <c r="DIK210" s="28"/>
      <c r="DIL210" s="28"/>
      <c r="DIM210" s="28"/>
      <c r="DIN210" s="28"/>
      <c r="DIO210" s="28"/>
      <c r="DIP210" s="28"/>
      <c r="DIQ210" s="28"/>
      <c r="DIR210" s="28"/>
      <c r="DIS210" s="28"/>
      <c r="DIT210" s="28"/>
      <c r="DIU210" s="28"/>
      <c r="DIV210" s="28"/>
      <c r="DIW210" s="28"/>
      <c r="DIX210" s="28"/>
      <c r="DIY210" s="28"/>
      <c r="DIZ210" s="28"/>
      <c r="DJA210" s="28"/>
      <c r="DJB210" s="28"/>
      <c r="DJC210" s="28"/>
      <c r="DJD210" s="28"/>
      <c r="DJE210" s="28"/>
      <c r="DJF210" s="28"/>
      <c r="DJG210" s="28"/>
      <c r="DJH210" s="28"/>
      <c r="DJI210" s="28"/>
      <c r="DJJ210" s="28"/>
      <c r="DJK210" s="28"/>
      <c r="DJL210" s="28"/>
      <c r="DJM210" s="28"/>
      <c r="DJN210" s="28"/>
      <c r="DJO210" s="28"/>
      <c r="DJP210" s="28"/>
      <c r="DJQ210" s="28"/>
      <c r="DJR210" s="28"/>
      <c r="DJS210" s="28"/>
      <c r="DJT210" s="28"/>
      <c r="DJU210" s="28"/>
      <c r="DJV210" s="28"/>
      <c r="DJW210" s="28"/>
      <c r="DJX210" s="28"/>
      <c r="DJY210" s="28"/>
      <c r="DJZ210" s="28"/>
      <c r="DKA210" s="28"/>
      <c r="DKB210" s="28"/>
      <c r="DKC210" s="28"/>
      <c r="DKD210" s="28"/>
      <c r="DKE210" s="28"/>
      <c r="DKF210" s="28"/>
      <c r="DKG210" s="28"/>
      <c r="DKH210" s="28"/>
      <c r="DKI210" s="28"/>
      <c r="DKJ210" s="28"/>
      <c r="DKK210" s="28"/>
      <c r="DKL210" s="28"/>
      <c r="DKM210" s="28"/>
      <c r="DKN210" s="28"/>
      <c r="DKO210" s="28"/>
      <c r="DKP210" s="28"/>
      <c r="DKQ210" s="28"/>
      <c r="DKR210" s="28"/>
      <c r="DKS210" s="28"/>
      <c r="DKT210" s="28"/>
      <c r="DKU210" s="28"/>
      <c r="DKV210" s="28"/>
      <c r="DKW210" s="28"/>
      <c r="DKX210" s="28"/>
      <c r="DKY210" s="28"/>
      <c r="DKZ210" s="28"/>
      <c r="DLA210" s="28"/>
      <c r="DLB210" s="28"/>
      <c r="DLC210" s="28"/>
      <c r="DLD210" s="28"/>
      <c r="DLE210" s="28"/>
      <c r="DLF210" s="28"/>
      <c r="DLG210" s="28"/>
      <c r="DLH210" s="28"/>
      <c r="DLI210" s="28"/>
      <c r="DLJ210" s="28"/>
      <c r="DLK210" s="28"/>
      <c r="DLL210" s="28"/>
      <c r="DLM210" s="28"/>
      <c r="DLN210" s="28"/>
      <c r="DLO210" s="28"/>
      <c r="DLP210" s="28"/>
      <c r="DLQ210" s="28"/>
      <c r="DLR210" s="28"/>
      <c r="DLS210" s="28"/>
      <c r="DLT210" s="28"/>
      <c r="DLU210" s="28"/>
      <c r="DLV210" s="28"/>
      <c r="DLW210" s="28"/>
      <c r="DLX210" s="28"/>
      <c r="DLY210" s="28"/>
      <c r="DLZ210" s="28"/>
      <c r="DMA210" s="28"/>
      <c r="DMB210" s="28"/>
      <c r="DMC210" s="28"/>
      <c r="DMD210" s="28"/>
      <c r="DME210" s="28"/>
      <c r="DMF210" s="28"/>
      <c r="DMG210" s="28"/>
      <c r="DMH210" s="28"/>
      <c r="DMI210" s="28"/>
      <c r="DMJ210" s="28"/>
      <c r="DMK210" s="28"/>
      <c r="DML210" s="28"/>
      <c r="DMM210" s="28"/>
      <c r="DMN210" s="28"/>
      <c r="DMO210" s="28"/>
      <c r="DMP210" s="28"/>
      <c r="DMQ210" s="28"/>
      <c r="DMR210" s="28"/>
      <c r="DMS210" s="28"/>
      <c r="DMT210" s="28"/>
      <c r="DMU210" s="28"/>
      <c r="DMV210" s="28"/>
      <c r="DMW210" s="28"/>
      <c r="DMX210" s="28"/>
      <c r="DMY210" s="28"/>
      <c r="DMZ210" s="28"/>
      <c r="DNA210" s="28"/>
      <c r="DNB210" s="28"/>
      <c r="DNC210" s="28"/>
      <c r="DND210" s="28"/>
      <c r="DNE210" s="28"/>
      <c r="DNF210" s="28"/>
      <c r="DNG210" s="28"/>
      <c r="DNH210" s="28"/>
      <c r="DNI210" s="28"/>
      <c r="DNJ210" s="28"/>
      <c r="DNK210" s="28"/>
      <c r="DNL210" s="28"/>
      <c r="DNM210" s="28"/>
      <c r="DNN210" s="28"/>
      <c r="DNO210" s="28"/>
      <c r="DNP210" s="28"/>
      <c r="DNQ210" s="28"/>
      <c r="DNR210" s="28"/>
      <c r="DNS210" s="28"/>
      <c r="DNT210" s="28"/>
      <c r="DNU210" s="28"/>
      <c r="DNV210" s="28"/>
      <c r="DNW210" s="28"/>
      <c r="DNX210" s="28"/>
      <c r="DNY210" s="28"/>
      <c r="DNZ210" s="28"/>
      <c r="DOA210" s="28"/>
      <c r="DOB210" s="28"/>
      <c r="DOC210" s="28"/>
      <c r="DOD210" s="28"/>
      <c r="DOE210" s="28"/>
      <c r="DOF210" s="28"/>
      <c r="DOG210" s="28"/>
      <c r="DOH210" s="28"/>
      <c r="DOI210" s="28"/>
      <c r="DOJ210" s="28"/>
      <c r="DOK210" s="28"/>
      <c r="DOL210" s="28"/>
      <c r="DOM210" s="28"/>
      <c r="DON210" s="28"/>
      <c r="DOO210" s="28"/>
      <c r="DOP210" s="28"/>
      <c r="DOQ210" s="28"/>
      <c r="DOR210" s="28"/>
      <c r="DOS210" s="28"/>
      <c r="DOT210" s="28"/>
      <c r="DOU210" s="28"/>
      <c r="DOV210" s="28"/>
      <c r="DOW210" s="28"/>
      <c r="DOX210" s="28"/>
      <c r="DOY210" s="28"/>
      <c r="DOZ210" s="28"/>
      <c r="DPA210" s="28"/>
      <c r="DPB210" s="28"/>
      <c r="DPC210" s="28"/>
      <c r="DPD210" s="28"/>
      <c r="DPE210" s="28"/>
      <c r="DPF210" s="28"/>
      <c r="DPG210" s="28"/>
      <c r="DPH210" s="28"/>
      <c r="DPI210" s="28"/>
      <c r="DPJ210" s="28"/>
      <c r="DPK210" s="28"/>
      <c r="DPL210" s="28"/>
      <c r="DPM210" s="28"/>
      <c r="DPN210" s="28"/>
      <c r="DPO210" s="28"/>
      <c r="DPP210" s="28"/>
      <c r="DPQ210" s="28"/>
      <c r="DPR210" s="28"/>
      <c r="DPS210" s="28"/>
      <c r="DPT210" s="28"/>
      <c r="DPU210" s="28"/>
      <c r="DPV210" s="28"/>
      <c r="DPW210" s="28"/>
      <c r="DPX210" s="28"/>
      <c r="DPY210" s="28"/>
      <c r="DPZ210" s="28"/>
      <c r="DQA210" s="28"/>
      <c r="DQB210" s="28"/>
      <c r="DQC210" s="28"/>
      <c r="DQD210" s="28"/>
      <c r="DQE210" s="28"/>
      <c r="DQF210" s="28"/>
      <c r="DQG210" s="28"/>
      <c r="DQH210" s="28"/>
      <c r="DQI210" s="28"/>
      <c r="DQJ210" s="28"/>
      <c r="DQK210" s="28"/>
      <c r="DQL210" s="28"/>
      <c r="DQM210" s="28"/>
      <c r="DQN210" s="28"/>
      <c r="DQO210" s="28"/>
      <c r="DQP210" s="28"/>
      <c r="DQQ210" s="28"/>
      <c r="DQR210" s="28"/>
      <c r="DQS210" s="28"/>
      <c r="DQT210" s="28"/>
      <c r="DQU210" s="28"/>
      <c r="DQV210" s="28"/>
      <c r="DQW210" s="28"/>
      <c r="DQX210" s="28"/>
      <c r="DQY210" s="28"/>
      <c r="DQZ210" s="28"/>
      <c r="DRA210" s="28"/>
      <c r="DRB210" s="28"/>
      <c r="DRC210" s="28"/>
      <c r="DRD210" s="28"/>
      <c r="DRE210" s="28"/>
      <c r="DRF210" s="28"/>
      <c r="DRG210" s="28"/>
      <c r="DRH210" s="28"/>
      <c r="DRI210" s="28"/>
      <c r="DRJ210" s="28"/>
      <c r="DRK210" s="28"/>
      <c r="DRL210" s="28"/>
      <c r="DRM210" s="28"/>
      <c r="DRN210" s="28"/>
      <c r="DRO210" s="28"/>
      <c r="DRP210" s="28"/>
      <c r="DRQ210" s="28"/>
      <c r="DRR210" s="28"/>
      <c r="DRS210" s="28"/>
      <c r="DRT210" s="28"/>
      <c r="DRU210" s="28"/>
      <c r="DRV210" s="28"/>
      <c r="DRW210" s="28"/>
      <c r="DRX210" s="28"/>
      <c r="DRY210" s="28"/>
      <c r="DRZ210" s="28"/>
      <c r="DSA210" s="28"/>
      <c r="DSB210" s="28"/>
      <c r="DSC210" s="28"/>
      <c r="DSD210" s="28"/>
      <c r="DSE210" s="28"/>
      <c r="DSF210" s="28"/>
      <c r="DSG210" s="28"/>
      <c r="DSH210" s="28"/>
      <c r="DSI210" s="28"/>
      <c r="DSJ210" s="28"/>
      <c r="DSK210" s="28"/>
      <c r="DSL210" s="28"/>
      <c r="DSM210" s="28"/>
      <c r="DSN210" s="28"/>
      <c r="DSO210" s="28"/>
      <c r="DSP210" s="28"/>
      <c r="DSQ210" s="28"/>
      <c r="DSR210" s="28"/>
      <c r="DSS210" s="28"/>
      <c r="DST210" s="28"/>
      <c r="DSU210" s="28"/>
      <c r="DSV210" s="28"/>
      <c r="DSW210" s="28"/>
      <c r="DSX210" s="28"/>
      <c r="DSY210" s="28"/>
      <c r="DSZ210" s="28"/>
      <c r="DTA210" s="28"/>
      <c r="DTB210" s="28"/>
      <c r="DTC210" s="28"/>
      <c r="DTD210" s="28"/>
      <c r="DTE210" s="28"/>
      <c r="DTF210" s="28"/>
      <c r="DTG210" s="28"/>
      <c r="DTH210" s="28"/>
      <c r="DTI210" s="28"/>
      <c r="DTJ210" s="28"/>
      <c r="DTK210" s="28"/>
      <c r="DTL210" s="28"/>
      <c r="DTM210" s="28"/>
      <c r="DTN210" s="28"/>
      <c r="DTO210" s="28"/>
      <c r="DTP210" s="28"/>
      <c r="DTQ210" s="28"/>
      <c r="DTR210" s="28"/>
      <c r="DTS210" s="28"/>
      <c r="DTT210" s="28"/>
      <c r="DTU210" s="28"/>
      <c r="DTV210" s="28"/>
      <c r="DTW210" s="28"/>
      <c r="DTX210" s="28"/>
      <c r="DTY210" s="28"/>
      <c r="DTZ210" s="28"/>
      <c r="DUA210" s="28"/>
      <c r="DUB210" s="28"/>
      <c r="DUC210" s="28"/>
      <c r="DUD210" s="28"/>
      <c r="DUE210" s="28"/>
      <c r="DUF210" s="28"/>
      <c r="DUG210" s="28"/>
      <c r="DUH210" s="28"/>
      <c r="DUI210" s="28"/>
      <c r="DUJ210" s="28"/>
      <c r="DUK210" s="28"/>
      <c r="DUL210" s="28"/>
      <c r="DUM210" s="28"/>
      <c r="DUN210" s="28"/>
      <c r="DUO210" s="28"/>
      <c r="DUP210" s="28"/>
      <c r="DUQ210" s="28"/>
      <c r="DUR210" s="28"/>
      <c r="DUS210" s="28"/>
      <c r="DUT210" s="28"/>
      <c r="DUU210" s="28"/>
      <c r="DUV210" s="28"/>
      <c r="DUW210" s="28"/>
      <c r="DUX210" s="28"/>
      <c r="DUY210" s="28"/>
      <c r="DUZ210" s="28"/>
      <c r="DVA210" s="28"/>
      <c r="DVB210" s="28"/>
      <c r="DVC210" s="28"/>
      <c r="DVD210" s="28"/>
      <c r="DVE210" s="28"/>
      <c r="DVF210" s="28"/>
      <c r="DVG210" s="28"/>
      <c r="DVH210" s="28"/>
      <c r="DVI210" s="28"/>
      <c r="DVJ210" s="28"/>
      <c r="DVK210" s="28"/>
      <c r="DVL210" s="28"/>
      <c r="DVM210" s="28"/>
      <c r="DVN210" s="28"/>
      <c r="DVO210" s="28"/>
      <c r="DVP210" s="28"/>
      <c r="DVQ210" s="28"/>
      <c r="DVR210" s="28"/>
      <c r="DVS210" s="28"/>
      <c r="DVT210" s="28"/>
      <c r="DVU210" s="28"/>
      <c r="DVV210" s="28"/>
      <c r="DVW210" s="28"/>
      <c r="DVX210" s="28"/>
      <c r="DVY210" s="28"/>
      <c r="DVZ210" s="28"/>
      <c r="DWA210" s="28"/>
      <c r="DWB210" s="28"/>
      <c r="DWC210" s="28"/>
      <c r="DWD210" s="28"/>
      <c r="DWE210" s="28"/>
      <c r="DWF210" s="28"/>
      <c r="DWG210" s="28"/>
      <c r="DWH210" s="28"/>
      <c r="DWI210" s="28"/>
      <c r="DWJ210" s="28"/>
      <c r="DWK210" s="28"/>
      <c r="DWL210" s="28"/>
      <c r="DWM210" s="28"/>
      <c r="DWN210" s="28"/>
      <c r="DWO210" s="28"/>
      <c r="DWP210" s="28"/>
      <c r="DWQ210" s="28"/>
      <c r="DWR210" s="28"/>
      <c r="DWS210" s="28"/>
      <c r="DWT210" s="28"/>
      <c r="DWU210" s="28"/>
      <c r="DWV210" s="28"/>
      <c r="DWW210" s="28"/>
      <c r="DWX210" s="28"/>
      <c r="DWY210" s="28"/>
      <c r="DWZ210" s="28"/>
      <c r="DXA210" s="28"/>
      <c r="DXB210" s="28"/>
      <c r="DXC210" s="28"/>
      <c r="DXD210" s="28"/>
      <c r="DXE210" s="28"/>
      <c r="DXF210" s="28"/>
      <c r="DXG210" s="28"/>
      <c r="DXH210" s="28"/>
      <c r="DXI210" s="28"/>
      <c r="DXJ210" s="28"/>
      <c r="DXK210" s="28"/>
      <c r="DXL210" s="28"/>
      <c r="DXM210" s="28"/>
      <c r="DXN210" s="28"/>
      <c r="DXO210" s="28"/>
      <c r="DXP210" s="28"/>
      <c r="DXQ210" s="28"/>
      <c r="DXR210" s="28"/>
      <c r="DXS210" s="28"/>
      <c r="DXT210" s="28"/>
      <c r="DXU210" s="28"/>
      <c r="DXV210" s="28"/>
      <c r="DXW210" s="28"/>
      <c r="DXX210" s="28"/>
      <c r="DXY210" s="28"/>
      <c r="DXZ210" s="28"/>
      <c r="DYA210" s="28"/>
      <c r="DYB210" s="28"/>
      <c r="DYC210" s="28"/>
      <c r="DYD210" s="28"/>
      <c r="DYE210" s="28"/>
      <c r="DYF210" s="28"/>
      <c r="DYG210" s="28"/>
      <c r="DYH210" s="28"/>
      <c r="DYI210" s="28"/>
      <c r="DYJ210" s="28"/>
      <c r="DYK210" s="28"/>
      <c r="DYL210" s="28"/>
      <c r="DYM210" s="28"/>
      <c r="DYN210" s="28"/>
      <c r="DYO210" s="28"/>
      <c r="DYP210" s="28"/>
      <c r="DYQ210" s="28"/>
      <c r="DYR210" s="28"/>
      <c r="DYS210" s="28"/>
      <c r="DYT210" s="28"/>
      <c r="DYU210" s="28"/>
      <c r="DYV210" s="28"/>
      <c r="DYW210" s="28"/>
      <c r="DYX210" s="28"/>
      <c r="DYY210" s="28"/>
      <c r="DYZ210" s="28"/>
      <c r="DZA210" s="28"/>
      <c r="DZB210" s="28"/>
      <c r="DZC210" s="28"/>
      <c r="DZD210" s="28"/>
      <c r="DZE210" s="28"/>
      <c r="DZF210" s="28"/>
      <c r="DZG210" s="28"/>
      <c r="DZH210" s="28"/>
      <c r="DZI210" s="28"/>
      <c r="DZJ210" s="28"/>
      <c r="DZK210" s="28"/>
      <c r="DZL210" s="28"/>
      <c r="DZM210" s="28"/>
      <c r="DZN210" s="28"/>
      <c r="DZO210" s="28"/>
      <c r="DZP210" s="28"/>
      <c r="DZQ210" s="28"/>
      <c r="DZR210" s="28"/>
      <c r="DZS210" s="28"/>
      <c r="DZT210" s="28"/>
      <c r="DZU210" s="28"/>
      <c r="DZV210" s="28"/>
      <c r="DZW210" s="28"/>
      <c r="DZX210" s="28"/>
      <c r="DZY210" s="28"/>
      <c r="DZZ210" s="28"/>
      <c r="EAA210" s="28"/>
      <c r="EAB210" s="28"/>
      <c r="EAC210" s="28"/>
      <c r="EAD210" s="28"/>
      <c r="EAE210" s="28"/>
      <c r="EAF210" s="28"/>
      <c r="EAG210" s="28"/>
      <c r="EAH210" s="28"/>
      <c r="EAI210" s="28"/>
      <c r="EAJ210" s="28"/>
      <c r="EAK210" s="28"/>
      <c r="EAL210" s="28"/>
      <c r="EAM210" s="28"/>
      <c r="EAN210" s="28"/>
      <c r="EAO210" s="28"/>
      <c r="EAP210" s="28"/>
      <c r="EAQ210" s="28"/>
      <c r="EAR210" s="28"/>
      <c r="EAS210" s="28"/>
      <c r="EAT210" s="28"/>
      <c r="EAU210" s="28"/>
      <c r="EAV210" s="28"/>
      <c r="EAW210" s="28"/>
      <c r="EAX210" s="28"/>
      <c r="EAY210" s="28"/>
      <c r="EAZ210" s="28"/>
      <c r="EBA210" s="28"/>
      <c r="EBB210" s="28"/>
      <c r="EBC210" s="28"/>
      <c r="EBD210" s="28"/>
      <c r="EBE210" s="28"/>
      <c r="EBF210" s="28"/>
      <c r="EBG210" s="28"/>
      <c r="EBH210" s="28"/>
      <c r="EBI210" s="28"/>
      <c r="EBJ210" s="28"/>
      <c r="EBK210" s="28"/>
      <c r="EBL210" s="28"/>
      <c r="EBM210" s="28"/>
      <c r="EBN210" s="28"/>
      <c r="EBO210" s="28"/>
      <c r="EBP210" s="28"/>
      <c r="EBQ210" s="28"/>
      <c r="EBR210" s="28"/>
      <c r="EBS210" s="28"/>
      <c r="EBT210" s="28"/>
      <c r="EBU210" s="28"/>
      <c r="EBV210" s="28"/>
      <c r="EBW210" s="28"/>
      <c r="EBX210" s="28"/>
      <c r="EBY210" s="28"/>
      <c r="EBZ210" s="28"/>
      <c r="ECA210" s="28"/>
      <c r="ECB210" s="28"/>
      <c r="ECC210" s="28"/>
      <c r="ECD210" s="28"/>
      <c r="ECE210" s="28"/>
      <c r="ECF210" s="28"/>
      <c r="ECG210" s="28"/>
      <c r="ECH210" s="28"/>
      <c r="ECI210" s="28"/>
      <c r="ECJ210" s="28"/>
      <c r="ECK210" s="28"/>
      <c r="ECL210" s="28"/>
      <c r="ECM210" s="28"/>
      <c r="ECN210" s="28"/>
      <c r="ECO210" s="28"/>
      <c r="ECP210" s="28"/>
      <c r="ECQ210" s="28"/>
      <c r="ECR210" s="28"/>
      <c r="ECS210" s="28"/>
      <c r="ECT210" s="28"/>
      <c r="ECU210" s="28"/>
      <c r="ECV210" s="28"/>
      <c r="ECW210" s="28"/>
      <c r="ECX210" s="28"/>
      <c r="ECY210" s="28"/>
      <c r="ECZ210" s="28"/>
      <c r="EDA210" s="28"/>
      <c r="EDB210" s="28"/>
      <c r="EDC210" s="28"/>
      <c r="EDD210" s="28"/>
      <c r="EDE210" s="28"/>
      <c r="EDF210" s="28"/>
      <c r="EDG210" s="28"/>
      <c r="EDH210" s="28"/>
      <c r="EDI210" s="28"/>
      <c r="EDJ210" s="28"/>
      <c r="EDK210" s="28"/>
      <c r="EDL210" s="28"/>
      <c r="EDM210" s="28"/>
      <c r="EDN210" s="28"/>
      <c r="EDO210" s="28"/>
      <c r="EDP210" s="28"/>
      <c r="EDQ210" s="28"/>
      <c r="EDR210" s="28"/>
      <c r="EDS210" s="28"/>
      <c r="EDT210" s="28"/>
      <c r="EDU210" s="28"/>
      <c r="EDV210" s="28"/>
      <c r="EDW210" s="28"/>
      <c r="EDX210" s="28"/>
      <c r="EDY210" s="28"/>
      <c r="EDZ210" s="28"/>
      <c r="EEA210" s="28"/>
      <c r="EEB210" s="28"/>
      <c r="EEC210" s="28"/>
      <c r="EED210" s="28"/>
      <c r="EEE210" s="28"/>
      <c r="EEF210" s="28"/>
      <c r="EEG210" s="28"/>
      <c r="EEH210" s="28"/>
      <c r="EEI210" s="28"/>
      <c r="EEJ210" s="28"/>
      <c r="EEK210" s="28"/>
      <c r="EEL210" s="28"/>
      <c r="EEM210" s="28"/>
      <c r="EEN210" s="28"/>
      <c r="EEO210" s="28"/>
      <c r="EEP210" s="28"/>
      <c r="EEQ210" s="28"/>
      <c r="EER210" s="28"/>
      <c r="EES210" s="28"/>
      <c r="EET210" s="28"/>
      <c r="EEU210" s="28"/>
      <c r="EEV210" s="28"/>
      <c r="EEW210" s="28"/>
      <c r="EEX210" s="28"/>
      <c r="EEY210" s="28"/>
      <c r="EEZ210" s="28"/>
      <c r="EFA210" s="28"/>
      <c r="EFB210" s="28"/>
      <c r="EFC210" s="28"/>
      <c r="EFD210" s="28"/>
      <c r="EFE210" s="28"/>
      <c r="EFF210" s="28"/>
      <c r="EFG210" s="28"/>
      <c r="EFH210" s="28"/>
      <c r="EFI210" s="28"/>
      <c r="EFJ210" s="28"/>
      <c r="EFK210" s="28"/>
      <c r="EFL210" s="28"/>
      <c r="EFM210" s="28"/>
      <c r="EFN210" s="28"/>
      <c r="EFO210" s="28"/>
      <c r="EFP210" s="28"/>
      <c r="EFQ210" s="28"/>
      <c r="EFR210" s="28"/>
      <c r="EFS210" s="28"/>
      <c r="EFT210" s="28"/>
      <c r="EFU210" s="28"/>
      <c r="EFV210" s="28"/>
      <c r="EFW210" s="28"/>
      <c r="EFX210" s="28"/>
      <c r="EFY210" s="28"/>
      <c r="EFZ210" s="28"/>
      <c r="EGA210" s="28"/>
      <c r="EGB210" s="28"/>
      <c r="EGC210" s="28"/>
      <c r="EGD210" s="28"/>
      <c r="EGE210" s="28"/>
      <c r="EGF210" s="28"/>
      <c r="EGG210" s="28"/>
      <c r="EGH210" s="28"/>
      <c r="EGI210" s="28"/>
      <c r="EGJ210" s="28"/>
      <c r="EGK210" s="28"/>
      <c r="EGL210" s="28"/>
      <c r="EGM210" s="28"/>
      <c r="EGN210" s="28"/>
      <c r="EGO210" s="28"/>
      <c r="EGP210" s="28"/>
      <c r="EGQ210" s="28"/>
      <c r="EGR210" s="28"/>
      <c r="EGS210" s="28"/>
      <c r="EGT210" s="28"/>
      <c r="EGU210" s="28"/>
      <c r="EGV210" s="28"/>
      <c r="EGW210" s="28"/>
      <c r="EGX210" s="28"/>
      <c r="EGY210" s="28"/>
      <c r="EGZ210" s="28"/>
      <c r="EHA210" s="28"/>
      <c r="EHB210" s="28"/>
      <c r="EHC210" s="28"/>
      <c r="EHD210" s="28"/>
      <c r="EHE210" s="28"/>
      <c r="EHF210" s="28"/>
      <c r="EHG210" s="28"/>
      <c r="EHH210" s="28"/>
      <c r="EHI210" s="28"/>
      <c r="EHJ210" s="28"/>
      <c r="EHK210" s="28"/>
      <c r="EHL210" s="28"/>
      <c r="EHM210" s="28"/>
      <c r="EHN210" s="28"/>
      <c r="EHO210" s="28"/>
      <c r="EHP210" s="28"/>
      <c r="EHQ210" s="28"/>
      <c r="EHR210" s="28"/>
      <c r="EHS210" s="28"/>
      <c r="EHT210" s="28"/>
      <c r="EHU210" s="28"/>
      <c r="EHV210" s="28"/>
      <c r="EHW210" s="28"/>
      <c r="EHX210" s="28"/>
      <c r="EHY210" s="28"/>
      <c r="EHZ210" s="28"/>
      <c r="EIA210" s="28"/>
      <c r="EIB210" s="28"/>
      <c r="EIC210" s="28"/>
      <c r="EID210" s="28"/>
      <c r="EIE210" s="28"/>
      <c r="EIF210" s="28"/>
      <c r="EIG210" s="28"/>
      <c r="EIH210" s="28"/>
      <c r="EII210" s="28"/>
      <c r="EIJ210" s="28"/>
      <c r="EIK210" s="28"/>
      <c r="EIL210" s="28"/>
      <c r="EIM210" s="28"/>
      <c r="EIN210" s="28"/>
      <c r="EIO210" s="28"/>
      <c r="EIP210" s="28"/>
      <c r="EIQ210" s="28"/>
      <c r="EIR210" s="28"/>
      <c r="EIS210" s="28"/>
      <c r="EIT210" s="28"/>
      <c r="EIU210" s="28"/>
      <c r="EIV210" s="28"/>
      <c r="EIW210" s="28"/>
      <c r="EIX210" s="28"/>
      <c r="EIY210" s="28"/>
      <c r="EIZ210" s="28"/>
      <c r="EJA210" s="28"/>
      <c r="EJB210" s="28"/>
      <c r="EJC210" s="28"/>
      <c r="EJD210" s="28"/>
      <c r="EJE210" s="28"/>
      <c r="EJF210" s="28"/>
      <c r="EJG210" s="28"/>
      <c r="EJH210" s="28"/>
      <c r="EJI210" s="28"/>
      <c r="EJJ210" s="28"/>
      <c r="EJK210" s="28"/>
      <c r="EJL210" s="28"/>
      <c r="EJM210" s="28"/>
      <c r="EJN210" s="28"/>
      <c r="EJO210" s="28"/>
      <c r="EJP210" s="28"/>
      <c r="EJQ210" s="28"/>
      <c r="EJR210" s="28"/>
      <c r="EJS210" s="28"/>
      <c r="EJT210" s="28"/>
      <c r="EJU210" s="28"/>
      <c r="EJV210" s="28"/>
      <c r="EJW210" s="28"/>
      <c r="EJX210" s="28"/>
      <c r="EJY210" s="28"/>
      <c r="EJZ210" s="28"/>
      <c r="EKA210" s="28"/>
      <c r="EKB210" s="28"/>
      <c r="EKC210" s="28"/>
      <c r="EKD210" s="28"/>
      <c r="EKE210" s="28"/>
      <c r="EKF210" s="28"/>
      <c r="EKG210" s="28"/>
      <c r="EKH210" s="28"/>
      <c r="EKI210" s="28"/>
      <c r="EKJ210" s="28"/>
      <c r="EKK210" s="28"/>
      <c r="EKL210" s="28"/>
      <c r="EKM210" s="28"/>
      <c r="EKN210" s="28"/>
      <c r="EKO210" s="28"/>
      <c r="EKP210" s="28"/>
      <c r="EKQ210" s="28"/>
      <c r="EKR210" s="28"/>
      <c r="EKS210" s="28"/>
      <c r="EKT210" s="28"/>
      <c r="EKU210" s="28"/>
      <c r="EKV210" s="28"/>
      <c r="EKW210" s="28"/>
      <c r="EKX210" s="28"/>
      <c r="EKY210" s="28"/>
      <c r="EKZ210" s="28"/>
      <c r="ELA210" s="28"/>
      <c r="ELB210" s="28"/>
      <c r="ELC210" s="28"/>
      <c r="ELD210" s="28"/>
      <c r="ELE210" s="28"/>
      <c r="ELF210" s="28"/>
      <c r="ELG210" s="28"/>
      <c r="ELH210" s="28"/>
      <c r="ELI210" s="28"/>
      <c r="ELJ210" s="28"/>
      <c r="ELK210" s="28"/>
      <c r="ELL210" s="28"/>
      <c r="ELM210" s="28"/>
      <c r="ELN210" s="28"/>
      <c r="ELO210" s="28"/>
      <c r="ELP210" s="28"/>
      <c r="ELQ210" s="28"/>
      <c r="ELR210" s="28"/>
      <c r="ELS210" s="28"/>
      <c r="ELT210" s="28"/>
      <c r="ELU210" s="28"/>
      <c r="ELV210" s="28"/>
      <c r="ELW210" s="28"/>
      <c r="ELX210" s="28"/>
      <c r="ELY210" s="28"/>
      <c r="ELZ210" s="28"/>
      <c r="EMA210" s="28"/>
      <c r="EMB210" s="28"/>
      <c r="EMC210" s="28"/>
      <c r="EMD210" s="28"/>
      <c r="EME210" s="28"/>
      <c r="EMF210" s="28"/>
      <c r="EMG210" s="28"/>
      <c r="EMH210" s="28"/>
      <c r="EMI210" s="28"/>
      <c r="EMJ210" s="28"/>
      <c r="EMK210" s="28"/>
      <c r="EML210" s="28"/>
      <c r="EMM210" s="28"/>
      <c r="EMN210" s="28"/>
      <c r="EMO210" s="28"/>
      <c r="EMP210" s="28"/>
      <c r="EMQ210" s="28"/>
      <c r="EMR210" s="28"/>
      <c r="EMS210" s="28"/>
      <c r="EMT210" s="28"/>
      <c r="EMU210" s="28"/>
      <c r="EMV210" s="28"/>
      <c r="EMW210" s="28"/>
      <c r="EMX210" s="28"/>
      <c r="EMY210" s="28"/>
      <c r="EMZ210" s="28"/>
      <c r="ENA210" s="28"/>
      <c r="ENB210" s="28"/>
      <c r="ENC210" s="28"/>
      <c r="END210" s="28"/>
      <c r="ENE210" s="28"/>
      <c r="ENF210" s="28"/>
      <c r="ENG210" s="28"/>
      <c r="ENH210" s="28"/>
      <c r="ENI210" s="28"/>
      <c r="ENJ210" s="28"/>
      <c r="ENK210" s="28"/>
      <c r="ENL210" s="28"/>
      <c r="ENM210" s="28"/>
      <c r="ENN210" s="28"/>
      <c r="ENO210" s="28"/>
      <c r="ENP210" s="28"/>
      <c r="ENQ210" s="28"/>
      <c r="ENR210" s="28"/>
      <c r="ENS210" s="28"/>
      <c r="ENT210" s="28"/>
      <c r="ENU210" s="28"/>
      <c r="ENV210" s="28"/>
      <c r="ENW210" s="28"/>
      <c r="ENX210" s="28"/>
      <c r="ENY210" s="28"/>
      <c r="ENZ210" s="28"/>
      <c r="EOA210" s="28"/>
      <c r="EOB210" s="28"/>
      <c r="EOC210" s="28"/>
      <c r="EOD210" s="28"/>
      <c r="EOE210" s="28"/>
      <c r="EOF210" s="28"/>
      <c r="EOG210" s="28"/>
      <c r="EOH210" s="28"/>
      <c r="EOI210" s="28"/>
      <c r="EOJ210" s="28"/>
      <c r="EOK210" s="28"/>
      <c r="EOL210" s="28"/>
      <c r="EOM210" s="28"/>
      <c r="EON210" s="28"/>
      <c r="EOO210" s="28"/>
      <c r="EOP210" s="28"/>
      <c r="EOQ210" s="28"/>
      <c r="EOR210" s="28"/>
      <c r="EOS210" s="28"/>
      <c r="EOT210" s="28"/>
      <c r="EOU210" s="28"/>
      <c r="EOV210" s="28"/>
      <c r="EOW210" s="28"/>
      <c r="EOX210" s="28"/>
      <c r="EOY210" s="28"/>
      <c r="EOZ210" s="28"/>
      <c r="EPA210" s="28"/>
      <c r="EPB210" s="28"/>
      <c r="EPC210" s="28"/>
      <c r="EPD210" s="28"/>
      <c r="EPE210" s="28"/>
      <c r="EPF210" s="28"/>
      <c r="EPG210" s="28"/>
      <c r="EPH210" s="28"/>
      <c r="EPI210" s="28"/>
      <c r="EPJ210" s="28"/>
      <c r="EPK210" s="28"/>
      <c r="EPL210" s="28"/>
      <c r="EPM210" s="28"/>
      <c r="EPN210" s="28"/>
      <c r="EPO210" s="28"/>
      <c r="EPP210" s="28"/>
      <c r="EPQ210" s="28"/>
      <c r="EPR210" s="28"/>
      <c r="EPS210" s="28"/>
      <c r="EPT210" s="28"/>
      <c r="EPU210" s="28"/>
      <c r="EPV210" s="28"/>
      <c r="EPW210" s="28"/>
      <c r="EPX210" s="28"/>
      <c r="EPY210" s="28"/>
      <c r="EPZ210" s="28"/>
      <c r="EQA210" s="28"/>
      <c r="EQB210" s="28"/>
      <c r="EQC210" s="28"/>
      <c r="EQD210" s="28"/>
      <c r="EQE210" s="28"/>
      <c r="EQF210" s="28"/>
      <c r="EQG210" s="28"/>
      <c r="EQH210" s="28"/>
      <c r="EQI210" s="28"/>
      <c r="EQJ210" s="28"/>
      <c r="EQK210" s="28"/>
      <c r="EQL210" s="28"/>
      <c r="EQM210" s="28"/>
      <c r="EQN210" s="28"/>
      <c r="EQO210" s="28"/>
      <c r="EQP210" s="28"/>
      <c r="EQQ210" s="28"/>
      <c r="EQR210" s="28"/>
      <c r="EQS210" s="28"/>
      <c r="EQT210" s="28"/>
      <c r="EQU210" s="28"/>
      <c r="EQV210" s="28"/>
      <c r="EQW210" s="28"/>
      <c r="EQX210" s="28"/>
      <c r="EQY210" s="28"/>
      <c r="EQZ210" s="28"/>
      <c r="ERA210" s="28"/>
      <c r="ERB210" s="28"/>
      <c r="ERC210" s="28"/>
      <c r="ERD210" s="28"/>
      <c r="ERE210" s="28"/>
      <c r="ERF210" s="28"/>
      <c r="ERG210" s="28"/>
      <c r="ERH210" s="28"/>
      <c r="ERI210" s="28"/>
      <c r="ERJ210" s="28"/>
      <c r="ERK210" s="28"/>
      <c r="ERL210" s="28"/>
      <c r="ERM210" s="28"/>
      <c r="ERN210" s="28"/>
      <c r="ERO210" s="28"/>
      <c r="ERP210" s="28"/>
      <c r="ERQ210" s="28"/>
      <c r="ERR210" s="28"/>
      <c r="ERS210" s="28"/>
      <c r="ERT210" s="28"/>
      <c r="ERU210" s="28"/>
      <c r="ERV210" s="28"/>
      <c r="ERW210" s="28"/>
      <c r="ERX210" s="28"/>
      <c r="ERY210" s="28"/>
      <c r="ERZ210" s="28"/>
      <c r="ESA210" s="28"/>
      <c r="ESB210" s="28"/>
      <c r="ESC210" s="28"/>
      <c r="ESD210" s="28"/>
      <c r="ESE210" s="28"/>
      <c r="ESF210" s="28"/>
      <c r="ESG210" s="28"/>
      <c r="ESH210" s="28"/>
      <c r="ESI210" s="28"/>
      <c r="ESJ210" s="28"/>
      <c r="ESK210" s="28"/>
      <c r="ESL210" s="28"/>
      <c r="ESM210" s="28"/>
      <c r="ESN210" s="28"/>
      <c r="ESO210" s="28"/>
      <c r="ESP210" s="28"/>
      <c r="ESQ210" s="28"/>
      <c r="ESR210" s="28"/>
      <c r="ESS210" s="28"/>
      <c r="EST210" s="28"/>
      <c r="ESU210" s="28"/>
      <c r="ESV210" s="28"/>
      <c r="ESW210" s="28"/>
      <c r="ESX210" s="28"/>
      <c r="ESY210" s="28"/>
      <c r="ESZ210" s="28"/>
      <c r="ETA210" s="28"/>
      <c r="ETB210" s="28"/>
      <c r="ETC210" s="28"/>
      <c r="ETD210" s="28"/>
      <c r="ETE210" s="28"/>
      <c r="ETF210" s="28"/>
      <c r="ETG210" s="28"/>
      <c r="ETH210" s="28"/>
      <c r="ETI210" s="28"/>
      <c r="ETJ210" s="28"/>
      <c r="ETK210" s="28"/>
      <c r="ETL210" s="28"/>
      <c r="ETM210" s="28"/>
      <c r="ETN210" s="28"/>
      <c r="ETO210" s="28"/>
      <c r="ETP210" s="28"/>
      <c r="ETQ210" s="28"/>
      <c r="ETR210" s="28"/>
      <c r="ETS210" s="28"/>
      <c r="ETT210" s="28"/>
      <c r="ETU210" s="28"/>
      <c r="ETV210" s="28"/>
      <c r="ETW210" s="28"/>
      <c r="ETX210" s="28"/>
      <c r="ETY210" s="28"/>
      <c r="ETZ210" s="28"/>
      <c r="EUA210" s="28"/>
      <c r="EUB210" s="28"/>
      <c r="EUC210" s="28"/>
      <c r="EUD210" s="28"/>
      <c r="EUE210" s="28"/>
      <c r="EUF210" s="28"/>
      <c r="EUG210" s="28"/>
      <c r="EUH210" s="28"/>
      <c r="EUI210" s="28"/>
      <c r="EUJ210" s="28"/>
      <c r="EUK210" s="28"/>
      <c r="EUL210" s="28"/>
      <c r="EUM210" s="28"/>
      <c r="EUN210" s="28"/>
      <c r="EUO210" s="28"/>
      <c r="EUP210" s="28"/>
      <c r="EUQ210" s="28"/>
      <c r="EUR210" s="28"/>
      <c r="EUS210" s="28"/>
      <c r="EUT210" s="28"/>
      <c r="EUU210" s="28"/>
      <c r="EUV210" s="28"/>
      <c r="EUW210" s="28"/>
      <c r="EUX210" s="28"/>
      <c r="EUY210" s="28"/>
      <c r="EUZ210" s="28"/>
      <c r="EVA210" s="28"/>
      <c r="EVB210" s="28"/>
      <c r="EVC210" s="28"/>
      <c r="EVD210" s="28"/>
      <c r="EVE210" s="28"/>
      <c r="EVF210" s="28"/>
      <c r="EVG210" s="28"/>
      <c r="EVH210" s="28"/>
      <c r="EVI210" s="28"/>
      <c r="EVJ210" s="28"/>
      <c r="EVK210" s="28"/>
      <c r="EVL210" s="28"/>
      <c r="EVM210" s="28"/>
      <c r="EVN210" s="28"/>
      <c r="EVO210" s="28"/>
      <c r="EVP210" s="28"/>
      <c r="EVQ210" s="28"/>
      <c r="EVR210" s="28"/>
      <c r="EVS210" s="28"/>
      <c r="EVT210" s="28"/>
      <c r="EVU210" s="28"/>
      <c r="EVV210" s="28"/>
      <c r="EVW210" s="28"/>
      <c r="EVX210" s="28"/>
      <c r="EVY210" s="28"/>
      <c r="EVZ210" s="28"/>
      <c r="EWA210" s="28"/>
      <c r="EWB210" s="28"/>
      <c r="EWC210" s="28"/>
      <c r="EWD210" s="28"/>
      <c r="EWE210" s="28"/>
      <c r="EWF210" s="28"/>
      <c r="EWG210" s="28"/>
      <c r="EWH210" s="28"/>
      <c r="EWI210" s="28"/>
      <c r="EWJ210" s="28"/>
      <c r="EWK210" s="28"/>
      <c r="EWL210" s="28"/>
      <c r="EWM210" s="28"/>
      <c r="EWN210" s="28"/>
      <c r="EWO210" s="28"/>
      <c r="EWP210" s="28"/>
      <c r="EWQ210" s="28"/>
      <c r="EWR210" s="28"/>
      <c r="EWS210" s="28"/>
      <c r="EWT210" s="28"/>
      <c r="EWU210" s="28"/>
      <c r="EWV210" s="28"/>
      <c r="EWW210" s="28"/>
      <c r="EWX210" s="28"/>
      <c r="EWY210" s="28"/>
      <c r="EWZ210" s="28"/>
      <c r="EXA210" s="28"/>
      <c r="EXB210" s="28"/>
      <c r="EXC210" s="28"/>
      <c r="EXD210" s="28"/>
      <c r="EXE210" s="28"/>
      <c r="EXF210" s="28"/>
      <c r="EXG210" s="28"/>
      <c r="EXH210" s="28"/>
      <c r="EXI210" s="28"/>
      <c r="EXJ210" s="28"/>
      <c r="EXK210" s="28"/>
      <c r="EXL210" s="28"/>
      <c r="EXM210" s="28"/>
      <c r="EXN210" s="28"/>
      <c r="EXO210" s="28"/>
      <c r="EXP210" s="28"/>
      <c r="EXQ210" s="28"/>
      <c r="EXR210" s="28"/>
      <c r="EXS210" s="28"/>
      <c r="EXT210" s="28"/>
      <c r="EXU210" s="28"/>
      <c r="EXV210" s="28"/>
      <c r="EXW210" s="28"/>
      <c r="EXX210" s="28"/>
      <c r="EXY210" s="28"/>
      <c r="EXZ210" s="28"/>
      <c r="EYA210" s="28"/>
      <c r="EYB210" s="28"/>
      <c r="EYC210" s="28"/>
      <c r="EYD210" s="28"/>
      <c r="EYE210" s="28"/>
      <c r="EYF210" s="28"/>
      <c r="EYG210" s="28"/>
      <c r="EYH210" s="28"/>
      <c r="EYI210" s="28"/>
      <c r="EYJ210" s="28"/>
      <c r="EYK210" s="28"/>
      <c r="EYL210" s="28"/>
      <c r="EYM210" s="28"/>
      <c r="EYN210" s="28"/>
      <c r="EYO210" s="28"/>
      <c r="EYP210" s="28"/>
      <c r="EYQ210" s="28"/>
      <c r="EYR210" s="28"/>
      <c r="EYS210" s="28"/>
      <c r="EYT210" s="28"/>
      <c r="EYU210" s="28"/>
      <c r="EYV210" s="28"/>
      <c r="EYW210" s="28"/>
      <c r="EYX210" s="28"/>
      <c r="EYY210" s="28"/>
      <c r="EYZ210" s="28"/>
      <c r="EZA210" s="28"/>
      <c r="EZB210" s="28"/>
      <c r="EZC210" s="28"/>
      <c r="EZD210" s="28"/>
      <c r="EZE210" s="28"/>
      <c r="EZF210" s="28"/>
      <c r="EZG210" s="28"/>
      <c r="EZH210" s="28"/>
      <c r="EZI210" s="28"/>
      <c r="EZJ210" s="28"/>
      <c r="EZK210" s="28"/>
      <c r="EZL210" s="28"/>
      <c r="EZM210" s="28"/>
      <c r="EZN210" s="28"/>
      <c r="EZO210" s="28"/>
      <c r="EZP210" s="28"/>
      <c r="EZQ210" s="28"/>
      <c r="EZR210" s="28"/>
      <c r="EZS210" s="28"/>
      <c r="EZT210" s="28"/>
      <c r="EZU210" s="28"/>
      <c r="EZV210" s="28"/>
      <c r="EZW210" s="28"/>
      <c r="EZX210" s="28"/>
      <c r="EZY210" s="28"/>
      <c r="EZZ210" s="28"/>
      <c r="FAA210" s="28"/>
      <c r="FAB210" s="28"/>
      <c r="FAC210" s="28"/>
      <c r="FAD210" s="28"/>
      <c r="FAE210" s="28"/>
      <c r="FAF210" s="28"/>
      <c r="FAG210" s="28"/>
      <c r="FAH210" s="28"/>
      <c r="FAI210" s="28"/>
      <c r="FAJ210" s="28"/>
      <c r="FAK210" s="28"/>
      <c r="FAL210" s="28"/>
      <c r="FAM210" s="28"/>
      <c r="FAN210" s="28"/>
      <c r="FAO210" s="28"/>
      <c r="FAP210" s="28"/>
      <c r="FAQ210" s="28"/>
      <c r="FAR210" s="28"/>
      <c r="FAS210" s="28"/>
      <c r="FAT210" s="28"/>
      <c r="FAU210" s="28"/>
      <c r="FAV210" s="28"/>
      <c r="FAW210" s="28"/>
      <c r="FAX210" s="28"/>
      <c r="FAY210" s="28"/>
      <c r="FAZ210" s="28"/>
      <c r="FBA210" s="28"/>
      <c r="FBB210" s="28"/>
      <c r="FBC210" s="28"/>
      <c r="FBD210" s="28"/>
      <c r="FBE210" s="28"/>
      <c r="FBF210" s="28"/>
      <c r="FBG210" s="28"/>
      <c r="FBH210" s="28"/>
      <c r="FBI210" s="28"/>
      <c r="FBJ210" s="28"/>
      <c r="FBK210" s="28"/>
      <c r="FBL210" s="28"/>
      <c r="FBM210" s="28"/>
      <c r="FBN210" s="28"/>
      <c r="FBO210" s="28"/>
      <c r="FBP210" s="28"/>
      <c r="FBQ210" s="28"/>
      <c r="FBR210" s="28"/>
      <c r="FBS210" s="28"/>
      <c r="FBT210" s="28"/>
      <c r="FBU210" s="28"/>
      <c r="FBV210" s="28"/>
      <c r="FBW210" s="28"/>
      <c r="FBX210" s="28"/>
      <c r="FBY210" s="28"/>
      <c r="FBZ210" s="28"/>
      <c r="FCA210" s="28"/>
      <c r="FCB210" s="28"/>
      <c r="FCC210" s="28"/>
      <c r="FCD210" s="28"/>
      <c r="FCE210" s="28"/>
      <c r="FCF210" s="28"/>
      <c r="FCG210" s="28"/>
      <c r="FCH210" s="28"/>
      <c r="FCI210" s="28"/>
      <c r="FCJ210" s="28"/>
      <c r="FCK210" s="28"/>
      <c r="FCL210" s="28"/>
      <c r="FCM210" s="28"/>
      <c r="FCN210" s="28"/>
      <c r="FCO210" s="28"/>
      <c r="FCP210" s="28"/>
      <c r="FCQ210" s="28"/>
      <c r="FCR210" s="28"/>
      <c r="FCS210" s="28"/>
      <c r="FCT210" s="28"/>
      <c r="FCU210" s="28"/>
      <c r="FCV210" s="28"/>
      <c r="FCW210" s="28"/>
      <c r="FCX210" s="28"/>
      <c r="FCY210" s="28"/>
      <c r="FCZ210" s="28"/>
      <c r="FDA210" s="28"/>
      <c r="FDB210" s="28"/>
      <c r="FDC210" s="28"/>
      <c r="FDD210" s="28"/>
      <c r="FDE210" s="28"/>
      <c r="FDF210" s="28"/>
      <c r="FDG210" s="28"/>
      <c r="FDH210" s="28"/>
      <c r="FDI210" s="28"/>
      <c r="FDJ210" s="28"/>
      <c r="FDK210" s="28"/>
      <c r="FDL210" s="28"/>
      <c r="FDM210" s="28"/>
      <c r="FDN210" s="28"/>
      <c r="FDO210" s="28"/>
      <c r="FDP210" s="28"/>
      <c r="FDQ210" s="28"/>
      <c r="FDR210" s="28"/>
      <c r="FDS210" s="28"/>
      <c r="FDT210" s="28"/>
      <c r="FDU210" s="28"/>
      <c r="FDV210" s="28"/>
      <c r="FDW210" s="28"/>
      <c r="FDX210" s="28"/>
      <c r="FDY210" s="28"/>
      <c r="FDZ210" s="28"/>
      <c r="FEA210" s="28"/>
      <c r="FEB210" s="28"/>
      <c r="FEC210" s="28"/>
      <c r="FED210" s="28"/>
      <c r="FEE210" s="28"/>
      <c r="FEF210" s="28"/>
      <c r="FEG210" s="28"/>
      <c r="FEH210" s="28"/>
      <c r="FEI210" s="28"/>
      <c r="FEJ210" s="28"/>
      <c r="FEK210" s="28"/>
      <c r="FEL210" s="28"/>
      <c r="FEM210" s="28"/>
      <c r="FEN210" s="28"/>
      <c r="FEO210" s="28"/>
      <c r="FEP210" s="28"/>
      <c r="FEQ210" s="28"/>
      <c r="FER210" s="28"/>
      <c r="FES210" s="28"/>
      <c r="FET210" s="28"/>
      <c r="FEU210" s="28"/>
      <c r="FEV210" s="28"/>
      <c r="FEW210" s="28"/>
      <c r="FEX210" s="28"/>
      <c r="FEY210" s="28"/>
      <c r="FEZ210" s="28"/>
      <c r="FFA210" s="28"/>
      <c r="FFB210" s="28"/>
      <c r="FFC210" s="28"/>
      <c r="FFD210" s="28"/>
      <c r="FFE210" s="28"/>
      <c r="FFF210" s="28"/>
      <c r="FFG210" s="28"/>
      <c r="FFH210" s="28"/>
      <c r="FFI210" s="28"/>
      <c r="FFJ210" s="28"/>
      <c r="FFK210" s="28"/>
      <c r="FFL210" s="28"/>
      <c r="FFM210" s="28"/>
      <c r="FFN210" s="28"/>
      <c r="FFO210" s="28"/>
      <c r="FFP210" s="28"/>
      <c r="FFQ210" s="28"/>
      <c r="FFR210" s="28"/>
      <c r="FFS210" s="28"/>
      <c r="FFT210" s="28"/>
      <c r="FFU210" s="28"/>
      <c r="FFV210" s="28"/>
      <c r="FFW210" s="28"/>
      <c r="FFX210" s="28"/>
      <c r="FFY210" s="28"/>
      <c r="FFZ210" s="28"/>
      <c r="FGA210" s="28"/>
      <c r="FGB210" s="28"/>
      <c r="FGC210" s="28"/>
      <c r="FGD210" s="28"/>
      <c r="FGE210" s="28"/>
      <c r="FGF210" s="28"/>
      <c r="FGG210" s="28"/>
      <c r="FGH210" s="28"/>
      <c r="FGI210" s="28"/>
      <c r="FGJ210" s="28"/>
      <c r="FGK210" s="28"/>
      <c r="FGL210" s="28"/>
      <c r="FGM210" s="28"/>
      <c r="FGN210" s="28"/>
      <c r="FGO210" s="28"/>
      <c r="FGP210" s="28"/>
      <c r="FGQ210" s="28"/>
      <c r="FGR210" s="28"/>
      <c r="FGS210" s="28"/>
      <c r="FGT210" s="28"/>
      <c r="FGU210" s="28"/>
      <c r="FGV210" s="28"/>
      <c r="FGW210" s="28"/>
      <c r="FGX210" s="28"/>
      <c r="FGY210" s="28"/>
      <c r="FGZ210" s="28"/>
      <c r="FHA210" s="28"/>
      <c r="FHB210" s="28"/>
      <c r="FHC210" s="28"/>
      <c r="FHD210" s="28"/>
      <c r="FHE210" s="28"/>
      <c r="FHF210" s="28"/>
      <c r="FHG210" s="28"/>
      <c r="FHH210" s="28"/>
      <c r="FHI210" s="28"/>
      <c r="FHJ210" s="28"/>
      <c r="FHK210" s="28"/>
      <c r="FHL210" s="28"/>
      <c r="FHM210" s="28"/>
      <c r="FHN210" s="28"/>
      <c r="FHO210" s="28"/>
      <c r="FHP210" s="28"/>
      <c r="FHQ210" s="28"/>
      <c r="FHR210" s="28"/>
      <c r="FHS210" s="28"/>
      <c r="FHT210" s="28"/>
      <c r="FHU210" s="28"/>
      <c r="FHV210" s="28"/>
      <c r="FHW210" s="28"/>
      <c r="FHX210" s="28"/>
      <c r="FHY210" s="28"/>
      <c r="FHZ210" s="28"/>
      <c r="FIA210" s="28"/>
      <c r="FIB210" s="28"/>
      <c r="FIC210" s="28"/>
      <c r="FID210" s="28"/>
      <c r="FIE210" s="28"/>
      <c r="FIF210" s="28"/>
      <c r="FIG210" s="28"/>
      <c r="FIH210" s="28"/>
      <c r="FII210" s="28"/>
      <c r="FIJ210" s="28"/>
      <c r="FIK210" s="28"/>
      <c r="FIL210" s="28"/>
      <c r="FIM210" s="28"/>
      <c r="FIN210" s="28"/>
      <c r="FIO210" s="28"/>
      <c r="FIP210" s="28"/>
      <c r="FIQ210" s="28"/>
      <c r="FIR210" s="28"/>
      <c r="FIS210" s="28"/>
      <c r="FIT210" s="28"/>
      <c r="FIU210" s="28"/>
      <c r="FIV210" s="28"/>
      <c r="FIW210" s="28"/>
      <c r="FIX210" s="28"/>
      <c r="FIY210" s="28"/>
      <c r="FIZ210" s="28"/>
      <c r="FJA210" s="28"/>
      <c r="FJB210" s="28"/>
      <c r="FJC210" s="28"/>
      <c r="FJD210" s="28"/>
      <c r="FJE210" s="28"/>
      <c r="FJF210" s="28"/>
      <c r="FJG210" s="28"/>
      <c r="FJH210" s="28"/>
      <c r="FJI210" s="28"/>
      <c r="FJJ210" s="28"/>
      <c r="FJK210" s="28"/>
      <c r="FJL210" s="28"/>
      <c r="FJM210" s="28"/>
      <c r="FJN210" s="28"/>
      <c r="FJO210" s="28"/>
      <c r="FJP210" s="28"/>
      <c r="FJQ210" s="28"/>
      <c r="FJR210" s="28"/>
      <c r="FJS210" s="28"/>
      <c r="FJT210" s="28"/>
      <c r="FJU210" s="28"/>
      <c r="FJV210" s="28"/>
      <c r="FJW210" s="28"/>
      <c r="FJX210" s="28"/>
      <c r="FJY210" s="28"/>
      <c r="FJZ210" s="28"/>
      <c r="FKA210" s="28"/>
      <c r="FKB210" s="28"/>
      <c r="FKC210" s="28"/>
      <c r="FKD210" s="28"/>
      <c r="FKE210" s="28"/>
      <c r="FKF210" s="28"/>
      <c r="FKG210" s="28"/>
      <c r="FKH210" s="28"/>
      <c r="FKI210" s="28"/>
      <c r="FKJ210" s="28"/>
      <c r="FKK210" s="28"/>
      <c r="FKL210" s="28"/>
      <c r="FKM210" s="28"/>
      <c r="FKN210" s="28"/>
      <c r="FKO210" s="28"/>
      <c r="FKP210" s="28"/>
      <c r="FKQ210" s="28"/>
      <c r="FKR210" s="28"/>
      <c r="FKS210" s="28"/>
      <c r="FKT210" s="28"/>
      <c r="FKU210" s="28"/>
      <c r="FKV210" s="28"/>
      <c r="FKW210" s="28"/>
      <c r="FKX210" s="28"/>
      <c r="FKY210" s="28"/>
      <c r="FKZ210" s="28"/>
      <c r="FLA210" s="28"/>
      <c r="FLB210" s="28"/>
      <c r="FLC210" s="28"/>
      <c r="FLD210" s="28"/>
      <c r="FLE210" s="28"/>
      <c r="FLF210" s="28"/>
      <c r="FLG210" s="28"/>
      <c r="FLH210" s="28"/>
      <c r="FLI210" s="28"/>
      <c r="FLJ210" s="28"/>
      <c r="FLK210" s="28"/>
      <c r="FLL210" s="28"/>
      <c r="FLM210" s="28"/>
      <c r="FLN210" s="28"/>
      <c r="FLO210" s="28"/>
      <c r="FLP210" s="28"/>
      <c r="FLQ210" s="28"/>
      <c r="FLR210" s="28"/>
      <c r="FLS210" s="28"/>
      <c r="FLT210" s="28"/>
      <c r="FLU210" s="28"/>
      <c r="FLV210" s="28"/>
      <c r="FLW210" s="28"/>
      <c r="FLX210" s="28"/>
      <c r="FLY210" s="28"/>
      <c r="FLZ210" s="28"/>
      <c r="FMA210" s="28"/>
      <c r="FMB210" s="28"/>
      <c r="FMC210" s="28"/>
      <c r="FMD210" s="28"/>
      <c r="FME210" s="28"/>
      <c r="FMF210" s="28"/>
      <c r="FMG210" s="28"/>
      <c r="FMH210" s="28"/>
      <c r="FMI210" s="28"/>
      <c r="FMJ210" s="28"/>
      <c r="FMK210" s="28"/>
      <c r="FML210" s="28"/>
      <c r="FMM210" s="28"/>
      <c r="FMN210" s="28"/>
      <c r="FMO210" s="28"/>
      <c r="FMP210" s="28"/>
      <c r="FMQ210" s="28"/>
      <c r="FMR210" s="28"/>
      <c r="FMS210" s="28"/>
      <c r="FMT210" s="28"/>
      <c r="FMU210" s="28"/>
      <c r="FMV210" s="28"/>
      <c r="FMW210" s="28"/>
      <c r="FMX210" s="28"/>
      <c r="FMY210" s="28"/>
      <c r="FMZ210" s="28"/>
      <c r="FNA210" s="28"/>
      <c r="FNB210" s="28"/>
      <c r="FNC210" s="28"/>
      <c r="FND210" s="28"/>
      <c r="FNE210" s="28"/>
      <c r="FNF210" s="28"/>
      <c r="FNG210" s="28"/>
      <c r="FNH210" s="28"/>
      <c r="FNI210" s="28"/>
      <c r="FNJ210" s="28"/>
      <c r="FNK210" s="28"/>
      <c r="FNL210" s="28"/>
      <c r="FNM210" s="28"/>
      <c r="FNN210" s="28"/>
      <c r="FNO210" s="28"/>
      <c r="FNP210" s="28"/>
      <c r="FNQ210" s="28"/>
      <c r="FNR210" s="28"/>
      <c r="FNS210" s="28"/>
      <c r="FNT210" s="28"/>
      <c r="FNU210" s="28"/>
      <c r="FNV210" s="28"/>
      <c r="FNW210" s="28"/>
      <c r="FNX210" s="28"/>
      <c r="FNY210" s="28"/>
      <c r="FNZ210" s="28"/>
      <c r="FOA210" s="28"/>
      <c r="FOB210" s="28"/>
      <c r="FOC210" s="28"/>
      <c r="FOD210" s="28"/>
      <c r="FOE210" s="28"/>
      <c r="FOF210" s="28"/>
      <c r="FOG210" s="28"/>
      <c r="FOH210" s="28"/>
      <c r="FOI210" s="28"/>
      <c r="FOJ210" s="28"/>
      <c r="FOK210" s="28"/>
      <c r="FOL210" s="28"/>
      <c r="FOM210" s="28"/>
      <c r="FON210" s="28"/>
      <c r="FOO210" s="28"/>
      <c r="FOP210" s="28"/>
      <c r="FOQ210" s="28"/>
      <c r="FOR210" s="28"/>
      <c r="FOS210" s="28"/>
      <c r="FOT210" s="28"/>
      <c r="FOU210" s="28"/>
      <c r="FOV210" s="28"/>
      <c r="FOW210" s="28"/>
      <c r="FOX210" s="28"/>
      <c r="FOY210" s="28"/>
      <c r="FOZ210" s="28"/>
      <c r="FPA210" s="28"/>
      <c r="FPB210" s="28"/>
      <c r="FPC210" s="28"/>
      <c r="FPD210" s="28"/>
      <c r="FPE210" s="28"/>
      <c r="FPF210" s="28"/>
      <c r="FPG210" s="28"/>
      <c r="FPH210" s="28"/>
      <c r="FPI210" s="28"/>
      <c r="FPJ210" s="28"/>
      <c r="FPK210" s="28"/>
      <c r="FPL210" s="28"/>
      <c r="FPM210" s="28"/>
      <c r="FPN210" s="28"/>
      <c r="FPO210" s="28"/>
      <c r="FPP210" s="28"/>
      <c r="FPQ210" s="28"/>
      <c r="FPR210" s="28"/>
      <c r="FPS210" s="28"/>
      <c r="FPT210" s="28"/>
      <c r="FPU210" s="28"/>
      <c r="FPV210" s="28"/>
      <c r="FPW210" s="28"/>
      <c r="FPX210" s="28"/>
      <c r="FPY210" s="28"/>
      <c r="FPZ210" s="28"/>
      <c r="FQA210" s="28"/>
      <c r="FQB210" s="28"/>
      <c r="FQC210" s="28"/>
      <c r="FQD210" s="28"/>
      <c r="FQE210" s="28"/>
      <c r="FQF210" s="28"/>
      <c r="FQG210" s="28"/>
      <c r="FQH210" s="28"/>
      <c r="FQI210" s="28"/>
      <c r="FQJ210" s="28"/>
      <c r="FQK210" s="28"/>
      <c r="FQL210" s="28"/>
      <c r="FQM210" s="28"/>
      <c r="FQN210" s="28"/>
      <c r="FQO210" s="28"/>
      <c r="FQP210" s="28"/>
      <c r="FQQ210" s="28"/>
      <c r="FQR210" s="28"/>
      <c r="FQS210" s="28"/>
      <c r="FQT210" s="28"/>
      <c r="FQU210" s="28"/>
      <c r="FQV210" s="28"/>
      <c r="FQW210" s="28"/>
      <c r="FQX210" s="28"/>
      <c r="FQY210" s="28"/>
      <c r="FQZ210" s="28"/>
      <c r="FRA210" s="28"/>
      <c r="FRB210" s="28"/>
      <c r="FRC210" s="28"/>
      <c r="FRD210" s="28"/>
      <c r="FRE210" s="28"/>
      <c r="FRF210" s="28"/>
      <c r="FRG210" s="28"/>
      <c r="FRH210" s="28"/>
      <c r="FRI210" s="28"/>
      <c r="FRJ210" s="28"/>
      <c r="FRK210" s="28"/>
      <c r="FRL210" s="28"/>
      <c r="FRM210" s="28"/>
      <c r="FRN210" s="28"/>
      <c r="FRO210" s="28"/>
      <c r="FRP210" s="28"/>
      <c r="FRQ210" s="28"/>
      <c r="FRR210" s="28"/>
      <c r="FRS210" s="28"/>
      <c r="FRT210" s="28"/>
      <c r="FRU210" s="28"/>
      <c r="FRV210" s="28"/>
      <c r="FRW210" s="28"/>
      <c r="FRX210" s="28"/>
      <c r="FRY210" s="28"/>
      <c r="FRZ210" s="28"/>
      <c r="FSA210" s="28"/>
      <c r="FSB210" s="28"/>
      <c r="FSC210" s="28"/>
      <c r="FSD210" s="28"/>
      <c r="FSE210" s="28"/>
      <c r="FSF210" s="28"/>
      <c r="FSG210" s="28"/>
      <c r="FSH210" s="28"/>
      <c r="FSI210" s="28"/>
      <c r="FSJ210" s="28"/>
      <c r="FSK210" s="28"/>
      <c r="FSL210" s="28"/>
      <c r="FSM210" s="28"/>
      <c r="FSN210" s="28"/>
      <c r="FSO210" s="28"/>
      <c r="FSP210" s="28"/>
      <c r="FSQ210" s="28"/>
      <c r="FSR210" s="28"/>
      <c r="FSS210" s="28"/>
      <c r="FST210" s="28"/>
      <c r="FSU210" s="28"/>
      <c r="FSV210" s="28"/>
      <c r="FSW210" s="28"/>
      <c r="FSX210" s="28"/>
      <c r="FSY210" s="28"/>
      <c r="FSZ210" s="28"/>
      <c r="FTA210" s="28"/>
      <c r="FTB210" s="28"/>
      <c r="FTC210" s="28"/>
      <c r="FTD210" s="28"/>
      <c r="FTE210" s="28"/>
      <c r="FTF210" s="28"/>
      <c r="FTG210" s="28"/>
      <c r="FTH210" s="28"/>
      <c r="FTI210" s="28"/>
      <c r="FTJ210" s="28"/>
      <c r="FTK210" s="28"/>
      <c r="FTL210" s="28"/>
      <c r="FTM210" s="28"/>
      <c r="FTN210" s="28"/>
      <c r="FTO210" s="28"/>
      <c r="FTP210" s="28"/>
      <c r="FTQ210" s="28"/>
      <c r="FTR210" s="28"/>
      <c r="FTS210" s="28"/>
      <c r="FTT210" s="28"/>
      <c r="FTU210" s="28"/>
      <c r="FTV210" s="28"/>
      <c r="FTW210" s="28"/>
      <c r="FTX210" s="28"/>
      <c r="FTY210" s="28"/>
      <c r="FTZ210" s="28"/>
      <c r="FUA210" s="28"/>
      <c r="FUB210" s="28"/>
      <c r="FUC210" s="28"/>
      <c r="FUD210" s="28"/>
      <c r="FUE210" s="28"/>
      <c r="FUF210" s="28"/>
      <c r="FUG210" s="28"/>
      <c r="FUH210" s="28"/>
      <c r="FUI210" s="28"/>
      <c r="FUJ210" s="28"/>
      <c r="FUK210" s="28"/>
      <c r="FUL210" s="28"/>
      <c r="FUM210" s="28"/>
      <c r="FUN210" s="28"/>
      <c r="FUO210" s="28"/>
      <c r="FUP210" s="28"/>
      <c r="FUQ210" s="28"/>
      <c r="FUR210" s="28"/>
      <c r="FUS210" s="28"/>
      <c r="FUT210" s="28"/>
      <c r="FUU210" s="28"/>
      <c r="FUV210" s="28"/>
      <c r="FUW210" s="28"/>
      <c r="FUX210" s="28"/>
      <c r="FUY210" s="28"/>
      <c r="FUZ210" s="28"/>
      <c r="FVA210" s="28"/>
      <c r="FVB210" s="28"/>
      <c r="FVC210" s="28"/>
      <c r="FVD210" s="28"/>
      <c r="FVE210" s="28"/>
      <c r="FVF210" s="28"/>
      <c r="FVG210" s="28"/>
      <c r="FVH210" s="28"/>
      <c r="FVI210" s="28"/>
      <c r="FVJ210" s="28"/>
      <c r="FVK210" s="28"/>
      <c r="FVL210" s="28"/>
      <c r="FVM210" s="28"/>
      <c r="FVN210" s="28"/>
      <c r="FVO210" s="28"/>
      <c r="FVP210" s="28"/>
      <c r="FVQ210" s="28"/>
      <c r="FVR210" s="28"/>
      <c r="FVS210" s="28"/>
      <c r="FVT210" s="28"/>
      <c r="FVU210" s="28"/>
      <c r="FVV210" s="28"/>
      <c r="FVW210" s="28"/>
      <c r="FVX210" s="28"/>
      <c r="FVY210" s="28"/>
      <c r="FVZ210" s="28"/>
      <c r="FWA210" s="28"/>
      <c r="FWB210" s="28"/>
      <c r="FWC210" s="28"/>
      <c r="FWD210" s="28"/>
      <c r="FWE210" s="28"/>
      <c r="FWF210" s="28"/>
      <c r="FWG210" s="28"/>
      <c r="FWH210" s="28"/>
      <c r="FWI210" s="28"/>
      <c r="FWJ210" s="28"/>
      <c r="FWK210" s="28"/>
      <c r="FWL210" s="28"/>
      <c r="FWM210" s="28"/>
      <c r="FWN210" s="28"/>
      <c r="FWO210" s="28"/>
      <c r="FWP210" s="28"/>
      <c r="FWQ210" s="28"/>
      <c r="FWR210" s="28"/>
      <c r="FWS210" s="28"/>
      <c r="FWT210" s="28"/>
      <c r="FWU210" s="28"/>
      <c r="FWV210" s="28"/>
      <c r="FWW210" s="28"/>
      <c r="FWX210" s="28"/>
      <c r="FWY210" s="28"/>
      <c r="FWZ210" s="28"/>
      <c r="FXA210" s="28"/>
      <c r="FXB210" s="28"/>
      <c r="FXC210" s="28"/>
      <c r="FXD210" s="28"/>
      <c r="FXE210" s="28"/>
      <c r="FXF210" s="28"/>
      <c r="FXG210" s="28"/>
      <c r="FXH210" s="28"/>
      <c r="FXI210" s="28"/>
      <c r="FXJ210" s="28"/>
      <c r="FXK210" s="28"/>
      <c r="FXL210" s="28"/>
      <c r="FXM210" s="28"/>
      <c r="FXN210" s="28"/>
      <c r="FXO210" s="28"/>
      <c r="FXP210" s="28"/>
      <c r="FXQ210" s="28"/>
      <c r="FXR210" s="28"/>
      <c r="FXS210" s="28"/>
      <c r="FXT210" s="28"/>
      <c r="FXU210" s="28"/>
      <c r="FXV210" s="28"/>
      <c r="FXW210" s="28"/>
      <c r="FXX210" s="28"/>
      <c r="FXY210" s="28"/>
      <c r="FXZ210" s="28"/>
      <c r="FYA210" s="28"/>
      <c r="FYB210" s="28"/>
      <c r="FYC210" s="28"/>
      <c r="FYD210" s="28"/>
      <c r="FYE210" s="28"/>
      <c r="FYF210" s="28"/>
      <c r="FYG210" s="28"/>
      <c r="FYH210" s="28"/>
      <c r="FYI210" s="28"/>
      <c r="FYJ210" s="28"/>
      <c r="FYK210" s="28"/>
      <c r="FYL210" s="28"/>
      <c r="FYM210" s="28"/>
      <c r="FYN210" s="28"/>
      <c r="FYO210" s="28"/>
      <c r="FYP210" s="28"/>
      <c r="FYQ210" s="28"/>
      <c r="FYR210" s="28"/>
      <c r="FYS210" s="28"/>
      <c r="FYT210" s="28"/>
      <c r="FYU210" s="28"/>
      <c r="FYV210" s="28"/>
      <c r="FYW210" s="28"/>
      <c r="FYX210" s="28"/>
      <c r="FYY210" s="28"/>
      <c r="FYZ210" s="28"/>
      <c r="FZA210" s="28"/>
      <c r="FZB210" s="28"/>
      <c r="FZC210" s="28"/>
      <c r="FZD210" s="28"/>
      <c r="FZE210" s="28"/>
      <c r="FZF210" s="28"/>
      <c r="FZG210" s="28"/>
      <c r="FZH210" s="28"/>
      <c r="FZI210" s="28"/>
      <c r="FZJ210" s="28"/>
      <c r="FZK210" s="28"/>
      <c r="FZL210" s="28"/>
      <c r="FZM210" s="28"/>
      <c r="FZN210" s="28"/>
      <c r="FZO210" s="28"/>
      <c r="FZP210" s="28"/>
      <c r="FZQ210" s="28"/>
      <c r="FZR210" s="28"/>
      <c r="FZS210" s="28"/>
      <c r="FZT210" s="28"/>
      <c r="FZU210" s="28"/>
      <c r="FZV210" s="28"/>
      <c r="FZW210" s="28"/>
      <c r="FZX210" s="28"/>
      <c r="FZY210" s="28"/>
      <c r="FZZ210" s="28"/>
      <c r="GAA210" s="28"/>
      <c r="GAB210" s="28"/>
      <c r="GAC210" s="28"/>
      <c r="GAD210" s="28"/>
      <c r="GAE210" s="28"/>
      <c r="GAF210" s="28"/>
      <c r="GAG210" s="28"/>
      <c r="GAH210" s="28"/>
      <c r="GAI210" s="28"/>
      <c r="GAJ210" s="28"/>
      <c r="GAK210" s="28"/>
      <c r="GAL210" s="28"/>
      <c r="GAM210" s="28"/>
      <c r="GAN210" s="28"/>
      <c r="GAO210" s="28"/>
      <c r="GAP210" s="28"/>
      <c r="GAQ210" s="28"/>
      <c r="GAR210" s="28"/>
      <c r="GAS210" s="28"/>
      <c r="GAT210" s="28"/>
      <c r="GAU210" s="28"/>
      <c r="GAV210" s="28"/>
      <c r="GAW210" s="28"/>
      <c r="GAX210" s="28"/>
      <c r="GAY210" s="28"/>
      <c r="GAZ210" s="28"/>
      <c r="GBA210" s="28"/>
      <c r="GBB210" s="28"/>
      <c r="GBC210" s="28"/>
      <c r="GBD210" s="28"/>
      <c r="GBE210" s="28"/>
      <c r="GBF210" s="28"/>
      <c r="GBG210" s="28"/>
      <c r="GBH210" s="28"/>
      <c r="GBI210" s="28"/>
      <c r="GBJ210" s="28"/>
      <c r="GBK210" s="28"/>
      <c r="GBL210" s="28"/>
      <c r="GBM210" s="28"/>
      <c r="GBN210" s="28"/>
      <c r="GBO210" s="28"/>
      <c r="GBP210" s="28"/>
      <c r="GBQ210" s="28"/>
      <c r="GBR210" s="28"/>
      <c r="GBS210" s="28"/>
      <c r="GBT210" s="28"/>
      <c r="GBU210" s="28"/>
      <c r="GBV210" s="28"/>
      <c r="GBW210" s="28"/>
      <c r="GBX210" s="28"/>
      <c r="GBY210" s="28"/>
      <c r="GBZ210" s="28"/>
      <c r="GCA210" s="28"/>
      <c r="GCB210" s="28"/>
      <c r="GCC210" s="28"/>
      <c r="GCD210" s="28"/>
      <c r="GCE210" s="28"/>
      <c r="GCF210" s="28"/>
      <c r="GCG210" s="28"/>
      <c r="GCH210" s="28"/>
      <c r="GCI210" s="28"/>
      <c r="GCJ210" s="28"/>
      <c r="GCK210" s="28"/>
      <c r="GCL210" s="28"/>
      <c r="GCM210" s="28"/>
      <c r="GCN210" s="28"/>
      <c r="GCO210" s="28"/>
      <c r="GCP210" s="28"/>
      <c r="GCQ210" s="28"/>
      <c r="GCR210" s="28"/>
      <c r="GCS210" s="28"/>
      <c r="GCT210" s="28"/>
      <c r="GCU210" s="28"/>
      <c r="GCV210" s="28"/>
      <c r="GCW210" s="28"/>
      <c r="GCX210" s="28"/>
      <c r="GCY210" s="28"/>
      <c r="GCZ210" s="28"/>
      <c r="GDA210" s="28"/>
      <c r="GDB210" s="28"/>
      <c r="GDC210" s="28"/>
      <c r="GDD210" s="28"/>
      <c r="GDE210" s="28"/>
      <c r="GDF210" s="28"/>
      <c r="GDG210" s="28"/>
      <c r="GDH210" s="28"/>
      <c r="GDI210" s="28"/>
      <c r="GDJ210" s="28"/>
      <c r="GDK210" s="28"/>
      <c r="GDL210" s="28"/>
      <c r="GDM210" s="28"/>
      <c r="GDN210" s="28"/>
      <c r="GDO210" s="28"/>
      <c r="GDP210" s="28"/>
      <c r="GDQ210" s="28"/>
      <c r="GDR210" s="28"/>
      <c r="GDS210" s="28"/>
      <c r="GDT210" s="28"/>
      <c r="GDU210" s="28"/>
      <c r="GDV210" s="28"/>
      <c r="GDW210" s="28"/>
      <c r="GDX210" s="28"/>
      <c r="GDY210" s="28"/>
      <c r="GDZ210" s="28"/>
      <c r="GEA210" s="28"/>
      <c r="GEB210" s="28"/>
      <c r="GEC210" s="28"/>
      <c r="GED210" s="28"/>
      <c r="GEE210" s="28"/>
      <c r="GEF210" s="28"/>
      <c r="GEG210" s="28"/>
      <c r="GEH210" s="28"/>
      <c r="GEI210" s="28"/>
      <c r="GEJ210" s="28"/>
      <c r="GEK210" s="28"/>
      <c r="GEL210" s="28"/>
      <c r="GEM210" s="28"/>
      <c r="GEN210" s="28"/>
      <c r="GEO210" s="28"/>
      <c r="GEP210" s="28"/>
      <c r="GEQ210" s="28"/>
      <c r="GER210" s="28"/>
      <c r="GES210" s="28"/>
      <c r="GET210" s="28"/>
      <c r="GEU210" s="28"/>
      <c r="GEV210" s="28"/>
      <c r="GEW210" s="28"/>
      <c r="GEX210" s="28"/>
      <c r="GEY210" s="28"/>
      <c r="GEZ210" s="28"/>
      <c r="GFA210" s="28"/>
      <c r="GFB210" s="28"/>
      <c r="GFC210" s="28"/>
      <c r="GFD210" s="28"/>
      <c r="GFE210" s="28"/>
      <c r="GFF210" s="28"/>
      <c r="GFG210" s="28"/>
      <c r="GFH210" s="28"/>
      <c r="GFI210" s="28"/>
      <c r="GFJ210" s="28"/>
      <c r="GFK210" s="28"/>
      <c r="GFL210" s="28"/>
      <c r="GFM210" s="28"/>
      <c r="GFN210" s="28"/>
      <c r="GFO210" s="28"/>
      <c r="GFP210" s="28"/>
      <c r="GFQ210" s="28"/>
      <c r="GFR210" s="28"/>
      <c r="GFS210" s="28"/>
      <c r="GFT210" s="28"/>
      <c r="GFU210" s="28"/>
      <c r="GFV210" s="28"/>
      <c r="GFW210" s="28"/>
      <c r="GFX210" s="28"/>
      <c r="GFY210" s="28"/>
      <c r="GFZ210" s="28"/>
      <c r="GGA210" s="28"/>
      <c r="GGB210" s="28"/>
      <c r="GGC210" s="28"/>
      <c r="GGD210" s="28"/>
      <c r="GGE210" s="28"/>
      <c r="GGF210" s="28"/>
      <c r="GGG210" s="28"/>
      <c r="GGH210" s="28"/>
      <c r="GGI210" s="28"/>
      <c r="GGJ210" s="28"/>
      <c r="GGK210" s="28"/>
      <c r="GGL210" s="28"/>
      <c r="GGM210" s="28"/>
      <c r="GGN210" s="28"/>
      <c r="GGO210" s="28"/>
      <c r="GGP210" s="28"/>
      <c r="GGQ210" s="28"/>
      <c r="GGR210" s="28"/>
      <c r="GGS210" s="28"/>
      <c r="GGT210" s="28"/>
      <c r="GGU210" s="28"/>
      <c r="GGV210" s="28"/>
      <c r="GGW210" s="28"/>
      <c r="GGX210" s="28"/>
      <c r="GGY210" s="28"/>
      <c r="GGZ210" s="28"/>
      <c r="GHA210" s="28"/>
      <c r="GHB210" s="28"/>
      <c r="GHC210" s="28"/>
      <c r="GHD210" s="28"/>
      <c r="GHE210" s="28"/>
      <c r="GHF210" s="28"/>
      <c r="GHG210" s="28"/>
      <c r="GHH210" s="28"/>
      <c r="GHI210" s="28"/>
      <c r="GHJ210" s="28"/>
      <c r="GHK210" s="28"/>
      <c r="GHL210" s="28"/>
      <c r="GHM210" s="28"/>
      <c r="GHN210" s="28"/>
      <c r="GHO210" s="28"/>
      <c r="GHP210" s="28"/>
      <c r="GHQ210" s="28"/>
      <c r="GHR210" s="28"/>
      <c r="GHS210" s="28"/>
      <c r="GHT210" s="28"/>
      <c r="GHU210" s="28"/>
      <c r="GHV210" s="28"/>
      <c r="GHW210" s="28"/>
      <c r="GHX210" s="28"/>
      <c r="GHY210" s="28"/>
      <c r="GHZ210" s="28"/>
      <c r="GIA210" s="28"/>
      <c r="GIB210" s="28"/>
      <c r="GIC210" s="28"/>
      <c r="GID210" s="28"/>
      <c r="GIE210" s="28"/>
      <c r="GIF210" s="28"/>
      <c r="GIG210" s="28"/>
      <c r="GIH210" s="28"/>
      <c r="GII210" s="28"/>
      <c r="GIJ210" s="28"/>
      <c r="GIK210" s="28"/>
      <c r="GIL210" s="28"/>
      <c r="GIM210" s="28"/>
      <c r="GIN210" s="28"/>
      <c r="GIO210" s="28"/>
      <c r="GIP210" s="28"/>
      <c r="GIQ210" s="28"/>
      <c r="GIR210" s="28"/>
      <c r="GIS210" s="28"/>
      <c r="GIT210" s="28"/>
      <c r="GIU210" s="28"/>
      <c r="GIV210" s="28"/>
      <c r="GIW210" s="28"/>
      <c r="GIX210" s="28"/>
      <c r="GIY210" s="28"/>
      <c r="GIZ210" s="28"/>
      <c r="GJA210" s="28"/>
      <c r="GJB210" s="28"/>
      <c r="GJC210" s="28"/>
      <c r="GJD210" s="28"/>
      <c r="GJE210" s="28"/>
      <c r="GJF210" s="28"/>
      <c r="GJG210" s="28"/>
      <c r="GJH210" s="28"/>
      <c r="GJI210" s="28"/>
      <c r="GJJ210" s="28"/>
      <c r="GJK210" s="28"/>
      <c r="GJL210" s="28"/>
      <c r="GJM210" s="28"/>
      <c r="GJN210" s="28"/>
      <c r="GJO210" s="28"/>
      <c r="GJP210" s="28"/>
      <c r="GJQ210" s="28"/>
      <c r="GJR210" s="28"/>
      <c r="GJS210" s="28"/>
      <c r="GJT210" s="28"/>
      <c r="GJU210" s="28"/>
      <c r="GJV210" s="28"/>
      <c r="GJW210" s="28"/>
      <c r="GJX210" s="28"/>
      <c r="GJY210" s="28"/>
      <c r="GJZ210" s="28"/>
      <c r="GKA210" s="28"/>
      <c r="GKB210" s="28"/>
      <c r="GKC210" s="28"/>
      <c r="GKD210" s="28"/>
      <c r="GKE210" s="28"/>
      <c r="GKF210" s="28"/>
      <c r="GKG210" s="28"/>
      <c r="GKH210" s="28"/>
      <c r="GKI210" s="28"/>
      <c r="GKJ210" s="28"/>
      <c r="GKK210" s="28"/>
      <c r="GKL210" s="28"/>
      <c r="GKM210" s="28"/>
      <c r="GKN210" s="28"/>
      <c r="GKO210" s="28"/>
      <c r="GKP210" s="28"/>
      <c r="GKQ210" s="28"/>
      <c r="GKR210" s="28"/>
      <c r="GKS210" s="28"/>
      <c r="GKT210" s="28"/>
      <c r="GKU210" s="28"/>
      <c r="GKV210" s="28"/>
      <c r="GKW210" s="28"/>
      <c r="GKX210" s="28"/>
      <c r="GKY210" s="28"/>
      <c r="GKZ210" s="28"/>
      <c r="GLA210" s="28"/>
      <c r="GLB210" s="28"/>
      <c r="GLC210" s="28"/>
      <c r="GLD210" s="28"/>
      <c r="GLE210" s="28"/>
      <c r="GLF210" s="28"/>
      <c r="GLG210" s="28"/>
      <c r="GLH210" s="28"/>
      <c r="GLI210" s="28"/>
      <c r="GLJ210" s="28"/>
      <c r="GLK210" s="28"/>
    </row>
    <row r="211" spans="1:5055" s="28" customFormat="1">
      <c r="A211" s="78">
        <v>208</v>
      </c>
      <c r="B211" s="77" t="s">
        <v>174</v>
      </c>
      <c r="C211" s="33" t="s">
        <v>284</v>
      </c>
      <c r="D211" s="31" t="s">
        <v>178</v>
      </c>
      <c r="E211" s="7">
        <v>46202</v>
      </c>
      <c r="F211" s="11" t="s">
        <v>282</v>
      </c>
      <c r="G211" s="11" t="s">
        <v>281</v>
      </c>
      <c r="H211" s="4" t="s">
        <v>0</v>
      </c>
      <c r="I211" s="5">
        <v>4758</v>
      </c>
      <c r="J211" s="6" t="s">
        <v>141</v>
      </c>
      <c r="K211" s="2">
        <v>8000</v>
      </c>
      <c r="L211" s="2">
        <f t="shared" ref="L211" si="327">+K211*0.975</f>
        <v>7800</v>
      </c>
      <c r="M211" s="12">
        <f t="shared" ref="M211" si="328">+L211-K211</f>
        <v>-200</v>
      </c>
      <c r="N211" s="21">
        <f t="shared" ref="N211" si="329">+L211/K211</f>
        <v>0.97499999999999998</v>
      </c>
      <c r="O211" s="56">
        <f>E211+P211+1+3</f>
        <v>46226.830729492147</v>
      </c>
      <c r="P211" s="25">
        <f t="shared" ref="P211:P212" si="330">+L211/Q211</f>
        <v>20.830729492146816</v>
      </c>
      <c r="Q211" s="51">
        <f t="shared" ref="Q211" si="331">630*40/60*0.975*0.9144</f>
        <v>374.4468</v>
      </c>
    </row>
    <row r="212" spans="1:5055" s="38" customFormat="1">
      <c r="A212" s="78">
        <v>209</v>
      </c>
      <c r="B212" s="98" t="s">
        <v>208</v>
      </c>
      <c r="C212" s="33" t="s">
        <v>184</v>
      </c>
      <c r="D212" s="30" t="s">
        <v>178</v>
      </c>
      <c r="E212" s="7">
        <v>46220</v>
      </c>
      <c r="F212" s="86" t="s">
        <v>209</v>
      </c>
      <c r="G212" s="86" t="s">
        <v>210</v>
      </c>
      <c r="H212" s="86" t="s">
        <v>185</v>
      </c>
      <c r="I212" s="5">
        <v>6700</v>
      </c>
      <c r="J212" s="6" t="s">
        <v>238</v>
      </c>
      <c r="K212" s="2">
        <v>5900</v>
      </c>
      <c r="L212" s="25">
        <f t="shared" ref="L212" si="332">+K212*0.95</f>
        <v>5605</v>
      </c>
      <c r="M212" s="2">
        <f>+L212-K212</f>
        <v>-295</v>
      </c>
      <c r="N212" s="21">
        <f>+L212/K212</f>
        <v>0.95</v>
      </c>
      <c r="O212" s="8">
        <f>+E212+P212+1+4</f>
        <v>46245.345148297907</v>
      </c>
      <c r="P212" s="24">
        <f t="shared" si="330"/>
        <v>20.345148297904206</v>
      </c>
      <c r="Q212" s="51">
        <f t="shared" ref="Q212" si="333">555*40/70*0.95*0.9144</f>
        <v>275.49565714285711</v>
      </c>
      <c r="R212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  <c r="FS212" s="28"/>
      <c r="FT212" s="28"/>
      <c r="FU212" s="28"/>
      <c r="FV212" s="28"/>
      <c r="FW212" s="28"/>
      <c r="FX212" s="28"/>
      <c r="FY212" s="28"/>
      <c r="FZ212" s="28"/>
      <c r="GA212" s="28"/>
      <c r="GB212" s="28"/>
      <c r="GC212" s="28"/>
      <c r="GD212" s="28"/>
      <c r="GE212" s="28"/>
      <c r="GF212" s="28"/>
      <c r="GG212" s="28"/>
      <c r="GH212" s="28"/>
      <c r="GI212" s="28"/>
      <c r="GJ212" s="28"/>
      <c r="GK212" s="28"/>
      <c r="GL212" s="28"/>
      <c r="GM212" s="28"/>
      <c r="GN212" s="28"/>
      <c r="GO212" s="28"/>
      <c r="GP212" s="28"/>
      <c r="GQ212" s="28"/>
      <c r="GR212" s="28"/>
      <c r="GS212" s="28"/>
      <c r="GT212" s="28"/>
      <c r="GU212" s="28"/>
      <c r="GV212" s="28"/>
      <c r="GW212" s="28"/>
      <c r="GX212" s="28"/>
      <c r="GY212" s="28"/>
      <c r="GZ212" s="28"/>
      <c r="HA212" s="28"/>
      <c r="HB212" s="28"/>
      <c r="HC212" s="28"/>
      <c r="HD212" s="28"/>
      <c r="HE212" s="28"/>
      <c r="HF212" s="28"/>
      <c r="HG212" s="28"/>
      <c r="HH212" s="28"/>
      <c r="HI212" s="28"/>
      <c r="HJ212" s="28"/>
      <c r="HK212" s="28"/>
      <c r="HL212" s="28"/>
      <c r="HM212" s="28"/>
      <c r="HN212" s="28"/>
      <c r="HO212" s="28"/>
      <c r="HP212" s="28"/>
      <c r="HQ212" s="28"/>
      <c r="HR212" s="28"/>
      <c r="HS212" s="28"/>
      <c r="HT212" s="28"/>
      <c r="HU212" s="28"/>
      <c r="HV212" s="28"/>
      <c r="HW212" s="28"/>
      <c r="HX212" s="28"/>
      <c r="HY212" s="28"/>
      <c r="HZ212" s="28"/>
      <c r="IA212" s="28"/>
      <c r="IB212" s="28"/>
      <c r="IC212" s="28"/>
      <c r="ID212" s="28"/>
      <c r="IE212" s="28"/>
      <c r="IF212" s="28"/>
      <c r="IG212" s="28"/>
      <c r="IH212" s="28"/>
      <c r="II212" s="28"/>
      <c r="IJ212" s="28"/>
      <c r="IK212" s="28"/>
      <c r="IL212" s="28"/>
      <c r="IM212" s="28"/>
      <c r="IN212" s="28"/>
      <c r="IO212" s="28"/>
      <c r="IP212" s="28"/>
      <c r="IQ212" s="28"/>
      <c r="IR212" s="28"/>
      <c r="IS212" s="28"/>
      <c r="IT212" s="28"/>
      <c r="IU212" s="28"/>
      <c r="IV212" s="28"/>
      <c r="IW212" s="28"/>
      <c r="IX212" s="28"/>
      <c r="IY212" s="28"/>
      <c r="IZ212" s="28"/>
      <c r="JA212" s="28"/>
      <c r="JB212" s="28"/>
      <c r="JC212" s="28"/>
      <c r="JD212" s="28"/>
      <c r="JE212" s="28"/>
      <c r="JF212" s="28"/>
      <c r="JG212" s="28"/>
      <c r="JH212" s="28"/>
      <c r="JI212" s="28"/>
      <c r="JJ212" s="28"/>
      <c r="JK212" s="28"/>
      <c r="JL212" s="28"/>
      <c r="JM212" s="28"/>
      <c r="JN212" s="28"/>
      <c r="JO212" s="28"/>
      <c r="JP212" s="28"/>
      <c r="JQ212" s="28"/>
      <c r="JR212" s="28"/>
      <c r="JS212" s="28"/>
      <c r="JT212" s="28"/>
      <c r="JU212" s="28"/>
      <c r="JV212" s="28"/>
      <c r="JW212" s="28"/>
      <c r="JX212" s="28"/>
      <c r="JY212" s="28"/>
      <c r="JZ212" s="28"/>
      <c r="KA212" s="28"/>
      <c r="KB212" s="28"/>
      <c r="KC212" s="28"/>
      <c r="KD212" s="28"/>
      <c r="KE212" s="28"/>
      <c r="KF212" s="28"/>
      <c r="KG212" s="28"/>
      <c r="KH212" s="28"/>
      <c r="KI212" s="28"/>
      <c r="KJ212" s="28"/>
      <c r="KK212" s="28"/>
      <c r="KL212" s="28"/>
      <c r="KM212" s="28"/>
      <c r="KN212" s="28"/>
      <c r="KO212" s="28"/>
      <c r="KP212" s="28"/>
      <c r="KQ212" s="28"/>
      <c r="KR212" s="28"/>
      <c r="KS212" s="28"/>
      <c r="KT212" s="28"/>
      <c r="KU212" s="28"/>
      <c r="KV212" s="28"/>
      <c r="KW212" s="28"/>
      <c r="KX212" s="28"/>
      <c r="KY212" s="28"/>
      <c r="KZ212" s="28"/>
      <c r="LA212" s="28"/>
      <c r="LB212" s="28"/>
      <c r="LC212" s="28"/>
      <c r="LD212" s="28"/>
      <c r="LE212" s="28"/>
      <c r="LF212" s="28"/>
      <c r="LG212" s="28"/>
      <c r="LH212" s="28"/>
      <c r="LI212" s="28"/>
      <c r="LJ212" s="28"/>
      <c r="LK212" s="28"/>
      <c r="LL212" s="28"/>
      <c r="LM212" s="28"/>
      <c r="LN212" s="28"/>
      <c r="LO212" s="28"/>
      <c r="LP212" s="28"/>
      <c r="LQ212" s="28"/>
      <c r="LR212" s="28"/>
      <c r="LS212" s="28"/>
      <c r="LT212" s="28"/>
      <c r="LU212" s="28"/>
      <c r="LV212" s="28"/>
      <c r="LW212" s="28"/>
      <c r="LX212" s="28"/>
      <c r="LY212" s="28"/>
      <c r="LZ212" s="28"/>
      <c r="MA212" s="28"/>
      <c r="MB212" s="28"/>
      <c r="MC212" s="28"/>
      <c r="MD212" s="28"/>
      <c r="ME212" s="28"/>
      <c r="MF212" s="28"/>
      <c r="MG212" s="28"/>
      <c r="MH212" s="28"/>
      <c r="MI212" s="28"/>
      <c r="MJ212" s="28"/>
      <c r="MK212" s="28"/>
      <c r="ML212" s="28"/>
      <c r="MM212" s="28"/>
      <c r="MN212" s="28"/>
      <c r="MO212" s="28"/>
      <c r="MP212" s="28"/>
      <c r="MQ212" s="28"/>
      <c r="MR212" s="28"/>
      <c r="MS212" s="28"/>
      <c r="MT212" s="28"/>
      <c r="MU212" s="28"/>
      <c r="MV212" s="28"/>
      <c r="MW212" s="28"/>
      <c r="MX212" s="28"/>
      <c r="MY212" s="28"/>
      <c r="MZ212" s="28"/>
      <c r="NA212" s="28"/>
      <c r="NB212" s="28"/>
      <c r="NC212" s="28"/>
      <c r="ND212" s="28"/>
      <c r="NE212" s="28"/>
      <c r="NF212" s="28"/>
      <c r="NG212" s="28"/>
      <c r="NH212" s="28"/>
      <c r="NI212" s="28"/>
      <c r="NJ212" s="28"/>
      <c r="NK212" s="28"/>
      <c r="NL212" s="28"/>
      <c r="NM212" s="28"/>
      <c r="NN212" s="28"/>
      <c r="NO212" s="28"/>
      <c r="NP212" s="28"/>
      <c r="NQ212" s="28"/>
      <c r="NR212" s="28"/>
      <c r="NS212" s="28"/>
      <c r="NT212" s="28"/>
      <c r="NU212" s="28"/>
      <c r="NV212" s="28"/>
      <c r="NW212" s="28"/>
      <c r="NX212" s="28"/>
      <c r="NY212" s="28"/>
      <c r="NZ212" s="28"/>
      <c r="OA212" s="28"/>
      <c r="OB212" s="28"/>
      <c r="OC212" s="28"/>
      <c r="OD212" s="28"/>
      <c r="OE212" s="28"/>
      <c r="OF212" s="28"/>
      <c r="OG212" s="28"/>
      <c r="OH212" s="28"/>
      <c r="OI212" s="28"/>
      <c r="OJ212" s="28"/>
      <c r="OK212" s="28"/>
      <c r="OL212" s="28"/>
      <c r="OM212" s="28"/>
      <c r="ON212" s="28"/>
      <c r="OO212" s="28"/>
      <c r="OP212" s="28"/>
      <c r="OQ212" s="28"/>
      <c r="OR212" s="28"/>
      <c r="OS212" s="28"/>
      <c r="OT212" s="28"/>
      <c r="OU212" s="28"/>
      <c r="OV212" s="28"/>
      <c r="OW212" s="28"/>
      <c r="OX212" s="28"/>
      <c r="OY212" s="28"/>
      <c r="OZ212" s="28"/>
      <c r="PA212" s="28"/>
      <c r="PB212" s="28"/>
      <c r="PC212" s="28"/>
      <c r="PD212" s="28"/>
      <c r="PE212" s="28"/>
      <c r="PF212" s="28"/>
      <c r="PG212" s="28"/>
      <c r="PH212" s="28"/>
      <c r="PI212" s="28"/>
      <c r="PJ212" s="28"/>
      <c r="PK212" s="28"/>
      <c r="PL212" s="28"/>
      <c r="PM212" s="28"/>
      <c r="PN212" s="28"/>
      <c r="PO212" s="28"/>
      <c r="PP212" s="28"/>
      <c r="PQ212" s="28"/>
      <c r="PR212" s="28"/>
      <c r="PS212" s="28"/>
      <c r="PT212" s="28"/>
      <c r="PU212" s="28"/>
      <c r="PV212" s="28"/>
      <c r="PW212" s="28"/>
      <c r="PX212" s="28"/>
      <c r="PY212" s="28"/>
      <c r="PZ212" s="28"/>
      <c r="QA212" s="28"/>
      <c r="QB212" s="28"/>
      <c r="QC212" s="28"/>
      <c r="QD212" s="28"/>
      <c r="QE212" s="28"/>
      <c r="QF212" s="28"/>
      <c r="QG212" s="28"/>
      <c r="QH212" s="28"/>
      <c r="QI212" s="28"/>
      <c r="QJ212" s="28"/>
      <c r="QK212" s="28"/>
      <c r="QL212" s="28"/>
      <c r="QM212" s="28"/>
      <c r="QN212" s="28"/>
      <c r="QO212" s="28"/>
      <c r="QP212" s="28"/>
      <c r="QQ212" s="28"/>
      <c r="QR212" s="28"/>
      <c r="QS212" s="28"/>
      <c r="QT212" s="28"/>
      <c r="QU212" s="28"/>
      <c r="QV212" s="28"/>
      <c r="QW212" s="28"/>
      <c r="QX212" s="28"/>
      <c r="QY212" s="28"/>
      <c r="QZ212" s="28"/>
      <c r="RA212" s="28"/>
      <c r="RB212" s="28"/>
      <c r="RC212" s="28"/>
      <c r="RD212" s="28"/>
      <c r="RE212" s="28"/>
      <c r="RF212" s="28"/>
      <c r="RG212" s="28"/>
      <c r="RH212" s="28"/>
      <c r="RI212" s="28"/>
      <c r="RJ212" s="28"/>
      <c r="RK212" s="28"/>
      <c r="RL212" s="28"/>
      <c r="RM212" s="28"/>
      <c r="RN212" s="28"/>
      <c r="RO212" s="28"/>
      <c r="RP212" s="28"/>
      <c r="RQ212" s="28"/>
      <c r="RR212" s="28"/>
      <c r="RS212" s="28"/>
      <c r="RT212" s="28"/>
      <c r="RU212" s="28"/>
      <c r="RV212" s="28"/>
      <c r="RW212" s="28"/>
      <c r="RX212" s="28"/>
      <c r="RY212" s="28"/>
      <c r="RZ212" s="28"/>
      <c r="SA212" s="28"/>
      <c r="SB212" s="28"/>
      <c r="SC212" s="28"/>
      <c r="SD212" s="28"/>
      <c r="SE212" s="28"/>
      <c r="SF212" s="28"/>
      <c r="SG212" s="28"/>
      <c r="SH212" s="28"/>
      <c r="SI212" s="28"/>
      <c r="SJ212" s="28"/>
      <c r="SK212" s="28"/>
      <c r="SL212" s="28"/>
      <c r="SM212" s="28"/>
      <c r="SN212" s="28"/>
      <c r="SO212" s="28"/>
      <c r="SP212" s="28"/>
      <c r="SQ212" s="28"/>
      <c r="SR212" s="28"/>
      <c r="SS212" s="28"/>
      <c r="ST212" s="28"/>
      <c r="SU212" s="28"/>
      <c r="SV212" s="28"/>
      <c r="SW212" s="28"/>
      <c r="SX212" s="28"/>
      <c r="SY212" s="28"/>
      <c r="SZ212" s="28"/>
      <c r="TA212" s="28"/>
      <c r="TB212" s="28"/>
      <c r="TC212" s="28"/>
      <c r="TD212" s="28"/>
      <c r="TE212" s="28"/>
      <c r="TF212" s="28"/>
      <c r="TG212" s="28"/>
      <c r="TH212" s="28"/>
      <c r="TI212" s="28"/>
      <c r="TJ212" s="28"/>
      <c r="TK212" s="28"/>
      <c r="TL212" s="28"/>
      <c r="TM212" s="28"/>
      <c r="TN212" s="28"/>
      <c r="TO212" s="28"/>
      <c r="TP212" s="28"/>
      <c r="TQ212" s="28"/>
      <c r="TR212" s="28"/>
      <c r="TS212" s="28"/>
      <c r="TT212" s="28"/>
      <c r="TU212" s="28"/>
      <c r="TV212" s="28"/>
      <c r="TW212" s="28"/>
      <c r="TX212" s="28"/>
      <c r="TY212" s="28"/>
      <c r="TZ212" s="28"/>
      <c r="UA212" s="28"/>
      <c r="UB212" s="28"/>
      <c r="UC212" s="28"/>
      <c r="UD212" s="28"/>
      <c r="UE212" s="28"/>
      <c r="UF212" s="28"/>
      <c r="UG212" s="28"/>
      <c r="UH212" s="28"/>
      <c r="UI212" s="28"/>
      <c r="UJ212" s="28"/>
      <c r="UK212" s="28"/>
      <c r="UL212" s="28"/>
      <c r="UM212" s="28"/>
      <c r="UN212" s="28"/>
      <c r="UO212" s="28"/>
      <c r="UP212" s="28"/>
      <c r="UQ212" s="28"/>
      <c r="UR212" s="28"/>
      <c r="US212" s="28"/>
      <c r="UT212" s="28"/>
      <c r="UU212" s="28"/>
      <c r="UV212" s="28"/>
      <c r="UW212" s="28"/>
      <c r="UX212" s="28"/>
      <c r="UY212" s="28"/>
      <c r="UZ212" s="28"/>
      <c r="VA212" s="28"/>
      <c r="VB212" s="28"/>
      <c r="VC212" s="28"/>
      <c r="VD212" s="28"/>
      <c r="VE212" s="28"/>
      <c r="VF212" s="28"/>
      <c r="VG212" s="28"/>
      <c r="VH212" s="28"/>
      <c r="VI212" s="28"/>
      <c r="VJ212" s="28"/>
      <c r="VK212" s="28"/>
      <c r="VL212" s="28"/>
      <c r="VM212" s="28"/>
      <c r="VN212" s="28"/>
      <c r="VO212" s="28"/>
      <c r="VP212" s="28"/>
      <c r="VQ212" s="28"/>
      <c r="VR212" s="28"/>
      <c r="VS212" s="28"/>
      <c r="VT212" s="28"/>
      <c r="VU212" s="28"/>
      <c r="VV212" s="28"/>
      <c r="VW212" s="28"/>
      <c r="VX212" s="28"/>
      <c r="VY212" s="28"/>
      <c r="VZ212" s="28"/>
      <c r="WA212" s="28"/>
      <c r="WB212" s="28"/>
      <c r="WC212" s="28"/>
      <c r="WD212" s="28"/>
      <c r="WE212" s="28"/>
      <c r="WF212" s="28"/>
      <c r="WG212" s="28"/>
      <c r="WH212" s="28"/>
      <c r="WI212" s="28"/>
      <c r="WJ212" s="28"/>
      <c r="WK212" s="28"/>
      <c r="WL212" s="28"/>
      <c r="WM212" s="28"/>
      <c r="WN212" s="28"/>
      <c r="WO212" s="28"/>
      <c r="WP212" s="28"/>
      <c r="WQ212" s="28"/>
      <c r="WR212" s="28"/>
      <c r="WS212" s="28"/>
      <c r="WT212" s="28"/>
      <c r="WU212" s="28"/>
      <c r="WV212" s="28"/>
      <c r="WW212" s="28"/>
      <c r="WX212" s="28"/>
      <c r="WY212" s="28"/>
      <c r="WZ212" s="28"/>
      <c r="XA212" s="28"/>
      <c r="XB212" s="28"/>
      <c r="XC212" s="28"/>
      <c r="XD212" s="28"/>
      <c r="XE212" s="28"/>
      <c r="XF212" s="28"/>
      <c r="XG212" s="28"/>
      <c r="XH212" s="28"/>
      <c r="XI212" s="28"/>
      <c r="XJ212" s="28"/>
      <c r="XK212" s="28"/>
      <c r="XL212" s="28"/>
      <c r="XM212" s="28"/>
      <c r="XN212" s="28"/>
      <c r="XO212" s="28"/>
      <c r="XP212" s="28"/>
      <c r="XQ212" s="28"/>
      <c r="XR212" s="28"/>
      <c r="XS212" s="28"/>
      <c r="XT212" s="28"/>
      <c r="XU212" s="28"/>
      <c r="XV212" s="28"/>
      <c r="XW212" s="28"/>
      <c r="XX212" s="28"/>
      <c r="XY212" s="28"/>
      <c r="XZ212" s="28"/>
      <c r="YA212" s="28"/>
      <c r="YB212" s="28"/>
      <c r="YC212" s="28"/>
      <c r="YD212" s="28"/>
      <c r="YE212" s="28"/>
      <c r="YF212" s="28"/>
      <c r="YG212" s="28"/>
      <c r="YH212" s="28"/>
      <c r="YI212" s="28"/>
      <c r="YJ212" s="28"/>
      <c r="YK212" s="28"/>
      <c r="YL212" s="28"/>
      <c r="YM212" s="28"/>
      <c r="YN212" s="28"/>
      <c r="YO212" s="28"/>
      <c r="YP212" s="28"/>
      <c r="YQ212" s="28"/>
      <c r="YR212" s="28"/>
      <c r="YS212" s="28"/>
      <c r="YT212" s="28"/>
      <c r="YU212" s="28"/>
      <c r="YV212" s="28"/>
      <c r="YW212" s="28"/>
      <c r="YX212" s="28"/>
      <c r="YY212" s="28"/>
      <c r="YZ212" s="28"/>
      <c r="ZA212" s="28"/>
      <c r="ZB212" s="28"/>
      <c r="ZC212" s="28"/>
      <c r="ZD212" s="28"/>
      <c r="ZE212" s="28"/>
      <c r="ZF212" s="28"/>
      <c r="ZG212" s="28"/>
      <c r="ZH212" s="28"/>
      <c r="ZI212" s="28"/>
      <c r="ZJ212" s="28"/>
      <c r="ZK212" s="28"/>
      <c r="ZL212" s="28"/>
      <c r="ZM212" s="28"/>
      <c r="ZN212" s="28"/>
      <c r="ZO212" s="28"/>
      <c r="ZP212" s="28"/>
      <c r="ZQ212" s="28"/>
      <c r="ZR212" s="28"/>
      <c r="ZS212" s="28"/>
      <c r="ZT212" s="28"/>
      <c r="ZU212" s="28"/>
      <c r="ZV212" s="28"/>
      <c r="ZW212" s="28"/>
      <c r="ZX212" s="28"/>
      <c r="ZY212" s="28"/>
      <c r="ZZ212" s="28"/>
      <c r="AAA212" s="28"/>
      <c r="AAB212" s="28"/>
      <c r="AAC212" s="28"/>
      <c r="AAD212" s="28"/>
      <c r="AAE212" s="28"/>
      <c r="AAF212" s="28"/>
      <c r="AAG212" s="28"/>
      <c r="AAH212" s="28"/>
      <c r="AAI212" s="28"/>
      <c r="AAJ212" s="28"/>
      <c r="AAK212" s="28"/>
      <c r="AAL212" s="28"/>
      <c r="AAM212" s="28"/>
      <c r="AAN212" s="28"/>
      <c r="AAO212" s="28"/>
      <c r="AAP212" s="28"/>
      <c r="AAQ212" s="28"/>
      <c r="AAR212" s="28"/>
      <c r="AAS212" s="28"/>
      <c r="AAT212" s="28"/>
      <c r="AAU212" s="28"/>
      <c r="AAV212" s="28"/>
      <c r="AAW212" s="28"/>
      <c r="AAX212" s="28"/>
      <c r="AAY212" s="28"/>
      <c r="AAZ212" s="28"/>
      <c r="ABA212" s="28"/>
      <c r="ABB212" s="28"/>
      <c r="ABC212" s="28"/>
      <c r="ABD212" s="28"/>
      <c r="ABE212" s="28"/>
      <c r="ABF212" s="28"/>
      <c r="ABG212" s="28"/>
      <c r="ABH212" s="28"/>
      <c r="ABI212" s="28"/>
      <c r="ABJ212" s="28"/>
      <c r="ABK212" s="28"/>
      <c r="ABL212" s="28"/>
      <c r="ABM212" s="28"/>
      <c r="ABN212" s="28"/>
      <c r="ABO212" s="28"/>
      <c r="ABP212" s="28"/>
      <c r="ABQ212" s="28"/>
      <c r="ABR212" s="28"/>
      <c r="ABS212" s="28"/>
      <c r="ABT212" s="28"/>
      <c r="ABU212" s="28"/>
      <c r="ABV212" s="28"/>
      <c r="ABW212" s="28"/>
      <c r="ABX212" s="28"/>
      <c r="ABY212" s="28"/>
      <c r="ABZ212" s="28"/>
      <c r="ACA212" s="28"/>
      <c r="ACB212" s="28"/>
      <c r="ACC212" s="28"/>
      <c r="ACD212" s="28"/>
      <c r="ACE212" s="28"/>
      <c r="ACF212" s="28"/>
      <c r="ACG212" s="28"/>
      <c r="ACH212" s="28"/>
      <c r="ACI212" s="28"/>
      <c r="ACJ212" s="28"/>
      <c r="ACK212" s="28"/>
      <c r="ACL212" s="28"/>
      <c r="ACM212" s="28"/>
      <c r="ACN212" s="28"/>
      <c r="ACO212" s="28"/>
      <c r="ACP212" s="28"/>
      <c r="ACQ212" s="28"/>
      <c r="ACR212" s="28"/>
      <c r="ACS212" s="28"/>
      <c r="ACT212" s="28"/>
      <c r="ACU212" s="28"/>
      <c r="ACV212" s="28"/>
      <c r="ACW212" s="28"/>
      <c r="ACX212" s="28"/>
      <c r="ACY212" s="28"/>
      <c r="ACZ212" s="28"/>
      <c r="ADA212" s="28"/>
      <c r="ADB212" s="28"/>
      <c r="ADC212" s="28"/>
      <c r="ADD212" s="28"/>
      <c r="ADE212" s="28"/>
      <c r="ADF212" s="28"/>
      <c r="ADG212" s="28"/>
      <c r="ADH212" s="28"/>
      <c r="ADI212" s="28"/>
      <c r="ADJ212" s="28"/>
      <c r="ADK212" s="28"/>
      <c r="ADL212" s="28"/>
      <c r="ADM212" s="28"/>
      <c r="ADN212" s="28"/>
      <c r="ADO212" s="28"/>
      <c r="ADP212" s="28"/>
      <c r="ADQ212" s="28"/>
      <c r="ADR212" s="28"/>
      <c r="ADS212" s="28"/>
      <c r="ADT212" s="28"/>
      <c r="ADU212" s="28"/>
      <c r="ADV212" s="28"/>
      <c r="ADW212" s="28"/>
      <c r="ADX212" s="28"/>
      <c r="ADY212" s="28"/>
      <c r="ADZ212" s="28"/>
      <c r="AEA212" s="28"/>
      <c r="AEB212" s="28"/>
      <c r="AEC212" s="28"/>
      <c r="AED212" s="28"/>
      <c r="AEE212" s="28"/>
      <c r="AEF212" s="28"/>
      <c r="AEG212" s="28"/>
      <c r="AEH212" s="28"/>
      <c r="AEI212" s="28"/>
      <c r="AEJ212" s="28"/>
      <c r="AEK212" s="28"/>
      <c r="AEL212" s="28"/>
      <c r="AEM212" s="28"/>
      <c r="AEN212" s="28"/>
      <c r="AEO212" s="28"/>
      <c r="AEP212" s="28"/>
      <c r="AEQ212" s="28"/>
      <c r="AER212" s="28"/>
      <c r="AES212" s="28"/>
      <c r="AET212" s="28"/>
      <c r="AEU212" s="28"/>
      <c r="AEV212" s="28"/>
      <c r="AEW212" s="28"/>
      <c r="AEX212" s="28"/>
      <c r="AEY212" s="28"/>
      <c r="AEZ212" s="28"/>
      <c r="AFA212" s="28"/>
      <c r="AFB212" s="28"/>
      <c r="AFC212" s="28"/>
      <c r="AFD212" s="28"/>
      <c r="AFE212" s="28"/>
      <c r="AFF212" s="28"/>
      <c r="AFG212" s="28"/>
      <c r="AFH212" s="28"/>
      <c r="AFI212" s="28"/>
      <c r="AFJ212" s="28"/>
      <c r="AFK212" s="28"/>
      <c r="AFL212" s="28"/>
      <c r="AFM212" s="28"/>
      <c r="AFN212" s="28"/>
      <c r="AFO212" s="28"/>
      <c r="AFP212" s="28"/>
      <c r="AFQ212" s="28"/>
      <c r="AFR212" s="28"/>
      <c r="AFS212" s="28"/>
      <c r="AFT212" s="28"/>
      <c r="AFU212" s="28"/>
      <c r="AFV212" s="28"/>
      <c r="AFW212" s="28"/>
      <c r="AFX212" s="28"/>
      <c r="AFY212" s="28"/>
      <c r="AFZ212" s="28"/>
      <c r="AGA212" s="28"/>
      <c r="AGB212" s="28"/>
      <c r="AGC212" s="28"/>
      <c r="AGD212" s="28"/>
      <c r="AGE212" s="28"/>
      <c r="AGF212" s="28"/>
      <c r="AGG212" s="28"/>
      <c r="AGH212" s="28"/>
      <c r="AGI212" s="28"/>
      <c r="AGJ212" s="28"/>
      <c r="AGK212" s="28"/>
      <c r="AGL212" s="28"/>
      <c r="AGM212" s="28"/>
      <c r="AGN212" s="28"/>
      <c r="AGO212" s="28"/>
      <c r="AGP212" s="28"/>
      <c r="AGQ212" s="28"/>
      <c r="AGR212" s="28"/>
      <c r="AGS212" s="28"/>
      <c r="AGT212" s="28"/>
      <c r="AGU212" s="28"/>
      <c r="AGV212" s="28"/>
      <c r="AGW212" s="28"/>
      <c r="AGX212" s="28"/>
      <c r="AGY212" s="28"/>
      <c r="AGZ212" s="28"/>
      <c r="AHA212" s="28"/>
      <c r="AHB212" s="28"/>
      <c r="AHC212" s="28"/>
      <c r="AHD212" s="28"/>
      <c r="AHE212" s="28"/>
      <c r="AHF212" s="28"/>
      <c r="AHG212" s="28"/>
      <c r="AHH212" s="28"/>
      <c r="AHI212" s="28"/>
      <c r="AHJ212" s="28"/>
      <c r="AHK212" s="28"/>
      <c r="AHL212" s="28"/>
      <c r="AHM212" s="28"/>
      <c r="AHN212" s="28"/>
      <c r="AHO212" s="28"/>
      <c r="AHP212" s="28"/>
      <c r="AHQ212" s="28"/>
      <c r="AHR212" s="28"/>
      <c r="AHS212" s="28"/>
      <c r="AHT212" s="28"/>
      <c r="AHU212" s="28"/>
      <c r="AHV212" s="28"/>
      <c r="AHW212" s="28"/>
      <c r="AHX212" s="28"/>
      <c r="AHY212" s="28"/>
      <c r="AHZ212" s="28"/>
      <c r="AIA212" s="28"/>
      <c r="AIB212" s="28"/>
      <c r="AIC212" s="28"/>
      <c r="AID212" s="28"/>
      <c r="AIE212" s="28"/>
      <c r="AIF212" s="28"/>
      <c r="AIG212" s="28"/>
      <c r="AIH212" s="28"/>
      <c r="AII212" s="28"/>
      <c r="AIJ212" s="28"/>
      <c r="AIK212" s="28"/>
      <c r="AIL212" s="28"/>
      <c r="AIM212" s="28"/>
      <c r="AIN212" s="28"/>
      <c r="AIO212" s="28"/>
      <c r="AIP212" s="28"/>
      <c r="AIQ212" s="28"/>
      <c r="AIR212" s="28"/>
      <c r="AIS212" s="28"/>
      <c r="AIT212" s="28"/>
      <c r="AIU212" s="28"/>
      <c r="AIV212" s="28"/>
      <c r="AIW212" s="28"/>
      <c r="AIX212" s="28"/>
      <c r="AIY212" s="28"/>
      <c r="AIZ212" s="28"/>
      <c r="AJA212" s="28"/>
      <c r="AJB212" s="28"/>
      <c r="AJC212" s="28"/>
      <c r="AJD212" s="28"/>
      <c r="AJE212" s="28"/>
      <c r="AJF212" s="28"/>
      <c r="AJG212" s="28"/>
      <c r="AJH212" s="28"/>
      <c r="AJI212" s="28"/>
      <c r="AJJ212" s="28"/>
      <c r="AJK212" s="28"/>
      <c r="AJL212" s="28"/>
      <c r="AJM212" s="28"/>
      <c r="AJN212" s="28"/>
      <c r="AJO212" s="28"/>
      <c r="AJP212" s="28"/>
      <c r="AJQ212" s="28"/>
      <c r="AJR212" s="28"/>
      <c r="AJS212" s="28"/>
      <c r="AJT212" s="28"/>
      <c r="AJU212" s="28"/>
      <c r="AJV212" s="28"/>
      <c r="AJW212" s="28"/>
      <c r="AJX212" s="28"/>
      <c r="AJY212" s="28"/>
      <c r="AJZ212" s="28"/>
      <c r="AKA212" s="28"/>
      <c r="AKB212" s="28"/>
      <c r="AKC212" s="28"/>
      <c r="AKD212" s="28"/>
      <c r="AKE212" s="28"/>
      <c r="AKF212" s="28"/>
      <c r="AKG212" s="28"/>
      <c r="AKH212" s="28"/>
      <c r="AKI212" s="28"/>
      <c r="AKJ212" s="28"/>
      <c r="AKK212" s="28"/>
      <c r="AKL212" s="28"/>
      <c r="AKM212" s="28"/>
      <c r="AKN212" s="28"/>
      <c r="AKO212" s="28"/>
      <c r="AKP212" s="28"/>
      <c r="AKQ212" s="28"/>
      <c r="AKR212" s="28"/>
      <c r="AKS212" s="28"/>
      <c r="AKT212" s="28"/>
      <c r="AKU212" s="28"/>
      <c r="AKV212" s="28"/>
      <c r="AKW212" s="28"/>
      <c r="AKX212" s="28"/>
      <c r="AKY212" s="28"/>
      <c r="AKZ212" s="28"/>
      <c r="ALA212" s="28"/>
      <c r="ALB212" s="28"/>
      <c r="ALC212" s="28"/>
      <c r="ALD212" s="28"/>
      <c r="ALE212" s="28"/>
      <c r="ALF212" s="28"/>
      <c r="ALG212" s="28"/>
      <c r="ALH212" s="28"/>
      <c r="ALI212" s="28"/>
      <c r="ALJ212" s="28"/>
      <c r="ALK212" s="28"/>
      <c r="ALL212" s="28"/>
      <c r="ALM212" s="28"/>
      <c r="ALN212" s="28"/>
      <c r="ALO212" s="28"/>
      <c r="ALP212" s="28"/>
      <c r="ALQ212" s="28"/>
      <c r="ALR212" s="28"/>
      <c r="ALS212" s="28"/>
      <c r="ALT212" s="28"/>
      <c r="ALU212" s="28"/>
      <c r="ALV212" s="28"/>
      <c r="ALW212" s="28"/>
      <c r="ALX212" s="28"/>
      <c r="ALY212" s="28"/>
      <c r="ALZ212" s="28"/>
      <c r="AMA212" s="28"/>
      <c r="AMB212" s="28"/>
      <c r="AMC212" s="28"/>
      <c r="AMD212" s="28"/>
      <c r="AME212" s="28"/>
      <c r="AMF212" s="28"/>
      <c r="AMG212" s="28"/>
      <c r="AMH212" s="28"/>
      <c r="AMI212" s="28"/>
      <c r="AMJ212" s="28"/>
      <c r="AMK212" s="28"/>
      <c r="AML212" s="28"/>
      <c r="AMM212" s="28"/>
      <c r="AMN212" s="28"/>
      <c r="AMO212" s="28"/>
      <c r="AMP212" s="28"/>
      <c r="AMQ212" s="28"/>
      <c r="AMR212" s="28"/>
      <c r="AMS212" s="28"/>
      <c r="AMT212" s="28"/>
      <c r="AMU212" s="28"/>
      <c r="AMV212" s="28"/>
      <c r="AMW212" s="28"/>
      <c r="AMX212" s="28"/>
      <c r="AMY212" s="28"/>
      <c r="AMZ212" s="28"/>
      <c r="ANA212" s="28"/>
      <c r="ANB212" s="28"/>
      <c r="ANC212" s="28"/>
      <c r="AND212" s="28"/>
      <c r="ANE212" s="28"/>
      <c r="ANF212" s="28"/>
      <c r="ANG212" s="28"/>
      <c r="ANH212" s="28"/>
      <c r="ANI212" s="28"/>
      <c r="ANJ212" s="28"/>
      <c r="ANK212" s="28"/>
      <c r="ANL212" s="28"/>
      <c r="ANM212" s="28"/>
      <c r="ANN212" s="28"/>
      <c r="ANO212" s="28"/>
      <c r="ANP212" s="28"/>
      <c r="ANQ212" s="28"/>
      <c r="ANR212" s="28"/>
      <c r="ANS212" s="28"/>
      <c r="ANT212" s="28"/>
      <c r="ANU212" s="28"/>
      <c r="ANV212" s="28"/>
      <c r="ANW212" s="28"/>
      <c r="ANX212" s="28"/>
      <c r="ANY212" s="28"/>
      <c r="ANZ212" s="28"/>
      <c r="AOA212" s="28"/>
      <c r="AOB212" s="28"/>
      <c r="AOC212" s="28"/>
      <c r="AOD212" s="28"/>
      <c r="AOE212" s="28"/>
      <c r="AOF212" s="28"/>
      <c r="AOG212" s="28"/>
      <c r="AOH212" s="28"/>
      <c r="AOI212" s="28"/>
      <c r="AOJ212" s="28"/>
      <c r="AOK212" s="28"/>
      <c r="AOL212" s="28"/>
      <c r="AOM212" s="28"/>
      <c r="AON212" s="28"/>
      <c r="AOO212" s="28"/>
      <c r="AOP212" s="28"/>
      <c r="AOQ212" s="28"/>
      <c r="AOR212" s="28"/>
      <c r="AOS212" s="28"/>
      <c r="AOT212" s="28"/>
      <c r="AOU212" s="28"/>
      <c r="AOV212" s="28"/>
      <c r="AOW212" s="28"/>
      <c r="AOX212" s="28"/>
      <c r="AOY212" s="28"/>
      <c r="AOZ212" s="28"/>
      <c r="APA212" s="28"/>
      <c r="APB212" s="28"/>
      <c r="APC212" s="28"/>
      <c r="APD212" s="28"/>
      <c r="APE212" s="28"/>
      <c r="APF212" s="28"/>
      <c r="APG212" s="28"/>
      <c r="APH212" s="28"/>
      <c r="API212" s="28"/>
      <c r="APJ212" s="28"/>
      <c r="APK212" s="28"/>
      <c r="APL212" s="28"/>
      <c r="APM212" s="28"/>
      <c r="APN212" s="28"/>
      <c r="APO212" s="28"/>
      <c r="APP212" s="28"/>
      <c r="APQ212" s="28"/>
      <c r="APR212" s="28"/>
      <c r="APS212" s="28"/>
      <c r="APT212" s="28"/>
      <c r="APU212" s="28"/>
      <c r="APV212" s="28"/>
      <c r="APW212" s="28"/>
      <c r="APX212" s="28"/>
      <c r="APY212" s="28"/>
      <c r="APZ212" s="28"/>
      <c r="AQA212" s="28"/>
      <c r="AQB212" s="28"/>
      <c r="AQC212" s="28"/>
      <c r="AQD212" s="28"/>
      <c r="AQE212" s="28"/>
      <c r="AQF212" s="28"/>
      <c r="AQG212" s="28"/>
      <c r="AQH212" s="28"/>
      <c r="AQI212" s="28"/>
      <c r="AQJ212" s="28"/>
      <c r="AQK212" s="28"/>
      <c r="AQL212" s="28"/>
      <c r="AQM212" s="28"/>
      <c r="AQN212" s="28"/>
      <c r="AQO212" s="28"/>
      <c r="AQP212" s="28"/>
      <c r="AQQ212" s="28"/>
      <c r="AQR212" s="28"/>
      <c r="AQS212" s="28"/>
      <c r="AQT212" s="28"/>
      <c r="AQU212" s="28"/>
      <c r="AQV212" s="28"/>
      <c r="AQW212" s="28"/>
      <c r="AQX212" s="28"/>
      <c r="AQY212" s="28"/>
      <c r="AQZ212" s="28"/>
      <c r="ARA212" s="28"/>
      <c r="ARB212" s="28"/>
      <c r="ARC212" s="28"/>
      <c r="ARD212" s="28"/>
      <c r="ARE212" s="28"/>
      <c r="ARF212" s="28"/>
      <c r="ARG212" s="28"/>
      <c r="ARH212" s="28"/>
      <c r="ARI212" s="28"/>
      <c r="ARJ212" s="28"/>
      <c r="ARK212" s="28"/>
      <c r="ARL212" s="28"/>
      <c r="ARM212" s="28"/>
      <c r="ARN212" s="28"/>
      <c r="ARO212" s="28"/>
      <c r="ARP212" s="28"/>
      <c r="ARQ212" s="28"/>
      <c r="ARR212" s="28"/>
      <c r="ARS212" s="28"/>
      <c r="ART212" s="28"/>
      <c r="ARU212" s="28"/>
      <c r="ARV212" s="28"/>
      <c r="ARW212" s="28"/>
      <c r="ARX212" s="28"/>
      <c r="ARY212" s="28"/>
      <c r="ARZ212" s="28"/>
      <c r="ASA212" s="28"/>
      <c r="ASB212" s="28"/>
      <c r="ASC212" s="28"/>
      <c r="ASD212" s="28"/>
      <c r="ASE212" s="28"/>
      <c r="ASF212" s="28"/>
      <c r="ASG212" s="28"/>
      <c r="ASH212" s="28"/>
      <c r="ASI212" s="28"/>
      <c r="ASJ212" s="28"/>
      <c r="ASK212" s="28"/>
      <c r="ASL212" s="28"/>
      <c r="ASM212" s="28"/>
      <c r="ASN212" s="28"/>
      <c r="ASO212" s="28"/>
      <c r="ASP212" s="28"/>
      <c r="ASQ212" s="28"/>
      <c r="ASR212" s="28"/>
      <c r="ASS212" s="28"/>
      <c r="AST212" s="28"/>
      <c r="ASU212" s="28"/>
      <c r="ASV212" s="28"/>
      <c r="ASW212" s="28"/>
      <c r="ASX212" s="28"/>
      <c r="ASY212" s="28"/>
      <c r="ASZ212" s="28"/>
      <c r="ATA212" s="28"/>
      <c r="ATB212" s="28"/>
      <c r="ATC212" s="28"/>
      <c r="ATD212" s="28"/>
      <c r="ATE212" s="28"/>
      <c r="ATF212" s="28"/>
      <c r="ATG212" s="28"/>
      <c r="ATH212" s="28"/>
      <c r="ATI212" s="28"/>
      <c r="ATJ212" s="28"/>
      <c r="ATK212" s="28"/>
      <c r="ATL212" s="28"/>
      <c r="ATM212" s="28"/>
      <c r="ATN212" s="28"/>
      <c r="ATO212" s="28"/>
      <c r="ATP212" s="28"/>
      <c r="ATQ212" s="28"/>
      <c r="ATR212" s="28"/>
      <c r="ATS212" s="28"/>
      <c r="ATT212" s="28"/>
      <c r="ATU212" s="28"/>
      <c r="ATV212" s="28"/>
      <c r="ATW212" s="28"/>
      <c r="ATX212" s="28"/>
      <c r="ATY212" s="28"/>
      <c r="ATZ212" s="28"/>
      <c r="AUA212" s="28"/>
      <c r="AUB212" s="28"/>
      <c r="AUC212" s="28"/>
      <c r="AUD212" s="28"/>
      <c r="AUE212" s="28"/>
      <c r="AUF212" s="28"/>
      <c r="AUG212" s="28"/>
      <c r="AUH212" s="28"/>
      <c r="AUI212" s="28"/>
      <c r="AUJ212" s="28"/>
      <c r="AUK212" s="28"/>
      <c r="AUL212" s="28"/>
      <c r="AUM212" s="28"/>
      <c r="AUN212" s="28"/>
      <c r="AUO212" s="28"/>
      <c r="AUP212" s="28"/>
      <c r="AUQ212" s="28"/>
      <c r="AUR212" s="28"/>
      <c r="AUS212" s="28"/>
      <c r="AUT212" s="28"/>
      <c r="AUU212" s="28"/>
      <c r="AUV212" s="28"/>
      <c r="AUW212" s="28"/>
      <c r="AUX212" s="28"/>
      <c r="AUY212" s="28"/>
      <c r="AUZ212" s="28"/>
      <c r="AVA212" s="28"/>
      <c r="AVB212" s="28"/>
      <c r="AVC212" s="28"/>
      <c r="AVD212" s="28"/>
      <c r="AVE212" s="28"/>
      <c r="AVF212" s="28"/>
      <c r="AVG212" s="28"/>
      <c r="AVH212" s="28"/>
      <c r="AVI212" s="28"/>
      <c r="AVJ212" s="28"/>
      <c r="AVK212" s="28"/>
      <c r="AVL212" s="28"/>
      <c r="AVM212" s="28"/>
      <c r="AVN212" s="28"/>
      <c r="AVO212" s="28"/>
      <c r="AVP212" s="28"/>
      <c r="AVQ212" s="28"/>
      <c r="AVR212" s="28"/>
      <c r="AVS212" s="28"/>
      <c r="AVT212" s="28"/>
      <c r="AVU212" s="28"/>
      <c r="AVV212" s="28"/>
      <c r="AVW212" s="28"/>
      <c r="AVX212" s="28"/>
      <c r="AVY212" s="28"/>
      <c r="AVZ212" s="28"/>
      <c r="AWA212" s="28"/>
      <c r="AWB212" s="28"/>
      <c r="AWC212" s="28"/>
      <c r="AWD212" s="28"/>
      <c r="AWE212" s="28"/>
      <c r="AWF212" s="28"/>
      <c r="AWG212" s="28"/>
      <c r="AWH212" s="28"/>
      <c r="AWI212" s="28"/>
      <c r="AWJ212" s="28"/>
      <c r="AWK212" s="28"/>
      <c r="AWL212" s="28"/>
      <c r="AWM212" s="28"/>
      <c r="AWN212" s="28"/>
      <c r="AWO212" s="28"/>
      <c r="AWP212" s="28"/>
      <c r="AWQ212" s="28"/>
      <c r="AWR212" s="28"/>
      <c r="AWS212" s="28"/>
      <c r="AWT212" s="28"/>
      <c r="AWU212" s="28"/>
      <c r="AWV212" s="28"/>
      <c r="AWW212" s="28"/>
      <c r="AWX212" s="28"/>
      <c r="AWY212" s="28"/>
      <c r="AWZ212" s="28"/>
      <c r="AXA212" s="28"/>
      <c r="AXB212" s="28"/>
      <c r="AXC212" s="28"/>
      <c r="AXD212" s="28"/>
      <c r="AXE212" s="28"/>
      <c r="AXF212" s="28"/>
      <c r="AXG212" s="28"/>
      <c r="AXH212" s="28"/>
      <c r="AXI212" s="28"/>
      <c r="AXJ212" s="28"/>
      <c r="AXK212" s="28"/>
      <c r="AXL212" s="28"/>
      <c r="AXM212" s="28"/>
      <c r="AXN212" s="28"/>
      <c r="AXO212" s="28"/>
      <c r="AXP212" s="28"/>
      <c r="AXQ212" s="28"/>
      <c r="AXR212" s="28"/>
      <c r="AXS212" s="28"/>
      <c r="AXT212" s="28"/>
      <c r="AXU212" s="28"/>
      <c r="AXV212" s="28"/>
      <c r="AXW212" s="28"/>
      <c r="AXX212" s="28"/>
      <c r="AXY212" s="28"/>
      <c r="AXZ212" s="28"/>
      <c r="AYA212" s="28"/>
      <c r="AYB212" s="28"/>
      <c r="AYC212" s="28"/>
      <c r="AYD212" s="28"/>
      <c r="AYE212" s="28"/>
      <c r="AYF212" s="28"/>
      <c r="AYG212" s="28"/>
      <c r="AYH212" s="28"/>
      <c r="AYI212" s="28"/>
      <c r="AYJ212" s="28"/>
      <c r="AYK212" s="28"/>
      <c r="AYL212" s="28"/>
      <c r="AYM212" s="28"/>
      <c r="AYN212" s="28"/>
      <c r="AYO212" s="28"/>
      <c r="AYP212" s="28"/>
      <c r="AYQ212" s="28"/>
      <c r="AYR212" s="28"/>
      <c r="AYS212" s="28"/>
      <c r="AYT212" s="28"/>
      <c r="AYU212" s="28"/>
      <c r="AYV212" s="28"/>
      <c r="AYW212" s="28"/>
      <c r="AYX212" s="28"/>
      <c r="AYY212" s="28"/>
      <c r="AYZ212" s="28"/>
      <c r="AZA212" s="28"/>
      <c r="AZB212" s="28"/>
      <c r="AZC212" s="28"/>
      <c r="AZD212" s="28"/>
      <c r="AZE212" s="28"/>
      <c r="AZF212" s="28"/>
      <c r="AZG212" s="28"/>
      <c r="AZH212" s="28"/>
      <c r="AZI212" s="28"/>
      <c r="AZJ212" s="28"/>
      <c r="AZK212" s="28"/>
      <c r="AZL212" s="28"/>
      <c r="AZM212" s="28"/>
      <c r="AZN212" s="28"/>
      <c r="AZO212" s="28"/>
      <c r="AZP212" s="28"/>
      <c r="AZQ212" s="28"/>
      <c r="AZR212" s="28"/>
      <c r="AZS212" s="28"/>
      <c r="AZT212" s="28"/>
      <c r="AZU212" s="28"/>
      <c r="AZV212" s="28"/>
      <c r="AZW212" s="28"/>
      <c r="AZX212" s="28"/>
      <c r="AZY212" s="28"/>
      <c r="AZZ212" s="28"/>
      <c r="BAA212" s="28"/>
      <c r="BAB212" s="28"/>
      <c r="BAC212" s="28"/>
      <c r="BAD212" s="28"/>
      <c r="BAE212" s="28"/>
      <c r="BAF212" s="28"/>
      <c r="BAG212" s="28"/>
      <c r="BAH212" s="28"/>
      <c r="BAI212" s="28"/>
      <c r="BAJ212" s="28"/>
      <c r="BAK212" s="28"/>
      <c r="BAL212" s="28"/>
      <c r="BAM212" s="28"/>
      <c r="BAN212" s="28"/>
      <c r="BAO212" s="28"/>
      <c r="BAP212" s="28"/>
      <c r="BAQ212" s="28"/>
      <c r="BAR212" s="28"/>
      <c r="BAS212" s="28"/>
      <c r="BAT212" s="28"/>
      <c r="BAU212" s="28"/>
      <c r="BAV212" s="28"/>
      <c r="BAW212" s="28"/>
      <c r="BAX212" s="28"/>
      <c r="BAY212" s="28"/>
      <c r="BAZ212" s="28"/>
      <c r="BBA212" s="28"/>
      <c r="BBB212" s="28"/>
      <c r="BBC212" s="28"/>
      <c r="BBD212" s="28"/>
      <c r="BBE212" s="28"/>
      <c r="BBF212" s="28"/>
      <c r="BBG212" s="28"/>
      <c r="BBH212" s="28"/>
      <c r="BBI212" s="28"/>
      <c r="BBJ212" s="28"/>
      <c r="BBK212" s="28"/>
      <c r="BBL212" s="28"/>
      <c r="BBM212" s="28"/>
      <c r="BBN212" s="28"/>
      <c r="BBO212" s="28"/>
      <c r="BBP212" s="28"/>
      <c r="BBQ212" s="28"/>
      <c r="BBR212" s="28"/>
      <c r="BBS212" s="28"/>
      <c r="BBT212" s="28"/>
      <c r="BBU212" s="28"/>
      <c r="BBV212" s="28"/>
      <c r="BBW212" s="28"/>
      <c r="BBX212" s="28"/>
      <c r="BBY212" s="28"/>
      <c r="BBZ212" s="28"/>
      <c r="BCA212" s="28"/>
      <c r="BCB212" s="28"/>
      <c r="BCC212" s="28"/>
      <c r="BCD212" s="28"/>
      <c r="BCE212" s="28"/>
      <c r="BCF212" s="28"/>
      <c r="BCG212" s="28"/>
      <c r="BCH212" s="28"/>
      <c r="BCI212" s="28"/>
      <c r="BCJ212" s="28"/>
      <c r="BCK212" s="28"/>
      <c r="BCL212" s="28"/>
      <c r="BCM212" s="28"/>
      <c r="BCN212" s="28"/>
      <c r="BCO212" s="28"/>
      <c r="BCP212" s="28"/>
      <c r="BCQ212" s="28"/>
      <c r="BCR212" s="28"/>
      <c r="BCS212" s="28"/>
      <c r="BCT212" s="28"/>
      <c r="BCU212" s="28"/>
      <c r="BCV212" s="28"/>
      <c r="BCW212" s="28"/>
      <c r="BCX212" s="28"/>
      <c r="BCY212" s="28"/>
      <c r="BCZ212" s="28"/>
      <c r="BDA212" s="28"/>
      <c r="BDB212" s="28"/>
      <c r="BDC212" s="28"/>
      <c r="BDD212" s="28"/>
      <c r="BDE212" s="28"/>
      <c r="BDF212" s="28"/>
      <c r="BDG212" s="28"/>
      <c r="BDH212" s="28"/>
      <c r="BDI212" s="28"/>
      <c r="BDJ212" s="28"/>
      <c r="BDK212" s="28"/>
      <c r="BDL212" s="28"/>
      <c r="BDM212" s="28"/>
      <c r="BDN212" s="28"/>
      <c r="BDO212" s="28"/>
      <c r="BDP212" s="28"/>
      <c r="BDQ212" s="28"/>
      <c r="BDR212" s="28"/>
      <c r="BDS212" s="28"/>
      <c r="BDT212" s="28"/>
      <c r="BDU212" s="28"/>
      <c r="BDV212" s="28"/>
      <c r="BDW212" s="28"/>
      <c r="BDX212" s="28"/>
      <c r="BDY212" s="28"/>
      <c r="BDZ212" s="28"/>
      <c r="BEA212" s="28"/>
      <c r="BEB212" s="28"/>
      <c r="BEC212" s="28"/>
      <c r="BED212" s="28"/>
      <c r="BEE212" s="28"/>
      <c r="BEF212" s="28"/>
      <c r="BEG212" s="28"/>
      <c r="BEH212" s="28"/>
      <c r="BEI212" s="28"/>
      <c r="BEJ212" s="28"/>
      <c r="BEK212" s="28"/>
      <c r="BEL212" s="28"/>
      <c r="BEM212" s="28"/>
      <c r="BEN212" s="28"/>
      <c r="BEO212" s="28"/>
      <c r="BEP212" s="28"/>
      <c r="BEQ212" s="28"/>
      <c r="BER212" s="28"/>
      <c r="BES212" s="28"/>
      <c r="BET212" s="28"/>
      <c r="BEU212" s="28"/>
      <c r="BEV212" s="28"/>
      <c r="BEW212" s="28"/>
      <c r="BEX212" s="28"/>
      <c r="BEY212" s="28"/>
      <c r="BEZ212" s="28"/>
      <c r="BFA212" s="28"/>
      <c r="BFB212" s="28"/>
      <c r="BFC212" s="28"/>
      <c r="BFD212" s="28"/>
      <c r="BFE212" s="28"/>
      <c r="BFF212" s="28"/>
      <c r="BFG212" s="28"/>
      <c r="BFH212" s="28"/>
      <c r="BFI212" s="28"/>
      <c r="BFJ212" s="28"/>
      <c r="BFK212" s="28"/>
      <c r="BFL212" s="28"/>
      <c r="BFM212" s="28"/>
      <c r="BFN212" s="28"/>
      <c r="BFO212" s="28"/>
      <c r="BFP212" s="28"/>
      <c r="BFQ212" s="28"/>
      <c r="BFR212" s="28"/>
      <c r="BFS212" s="28"/>
      <c r="BFT212" s="28"/>
      <c r="BFU212" s="28"/>
      <c r="BFV212" s="28"/>
      <c r="BFW212" s="28"/>
      <c r="BFX212" s="28"/>
      <c r="BFY212" s="28"/>
      <c r="BFZ212" s="28"/>
      <c r="BGA212" s="28"/>
      <c r="BGB212" s="28"/>
      <c r="BGC212" s="28"/>
      <c r="BGD212" s="28"/>
      <c r="BGE212" s="28"/>
      <c r="BGF212" s="28"/>
      <c r="BGG212" s="28"/>
      <c r="BGH212" s="28"/>
      <c r="BGI212" s="28"/>
      <c r="BGJ212" s="28"/>
      <c r="BGK212" s="28"/>
      <c r="BGL212" s="28"/>
      <c r="BGM212" s="28"/>
      <c r="BGN212" s="28"/>
      <c r="BGO212" s="28"/>
      <c r="BGP212" s="28"/>
      <c r="BGQ212" s="28"/>
      <c r="BGR212" s="28"/>
      <c r="BGS212" s="28"/>
      <c r="BGT212" s="28"/>
      <c r="BGU212" s="28"/>
      <c r="BGV212" s="28"/>
      <c r="BGW212" s="28"/>
      <c r="BGX212" s="28"/>
      <c r="BGY212" s="28"/>
      <c r="BGZ212" s="28"/>
      <c r="BHA212" s="28"/>
      <c r="BHB212" s="28"/>
      <c r="BHC212" s="28"/>
      <c r="BHD212" s="28"/>
      <c r="BHE212" s="28"/>
      <c r="BHF212" s="28"/>
      <c r="BHG212" s="28"/>
      <c r="BHH212" s="28"/>
      <c r="BHI212" s="28"/>
      <c r="BHJ212" s="28"/>
      <c r="BHK212" s="28"/>
      <c r="BHL212" s="28"/>
      <c r="BHM212" s="28"/>
      <c r="BHN212" s="28"/>
      <c r="BHO212" s="28"/>
      <c r="BHP212" s="28"/>
      <c r="BHQ212" s="28"/>
      <c r="BHR212" s="28"/>
      <c r="BHS212" s="28"/>
      <c r="BHT212" s="28"/>
      <c r="BHU212" s="28"/>
      <c r="BHV212" s="28"/>
      <c r="BHW212" s="28"/>
      <c r="BHX212" s="28"/>
      <c r="BHY212" s="28"/>
      <c r="BHZ212" s="28"/>
      <c r="BIA212" s="28"/>
      <c r="BIB212" s="28"/>
      <c r="BIC212" s="28"/>
      <c r="BID212" s="28"/>
      <c r="BIE212" s="28"/>
      <c r="BIF212" s="28"/>
      <c r="BIG212" s="28"/>
      <c r="BIH212" s="28"/>
      <c r="BII212" s="28"/>
      <c r="BIJ212" s="28"/>
      <c r="BIK212" s="28"/>
      <c r="BIL212" s="28"/>
      <c r="BIM212" s="28"/>
      <c r="BIN212" s="28"/>
      <c r="BIO212" s="28"/>
      <c r="BIP212" s="28"/>
      <c r="BIQ212" s="28"/>
      <c r="BIR212" s="28"/>
      <c r="BIS212" s="28"/>
      <c r="BIT212" s="28"/>
      <c r="BIU212" s="28"/>
      <c r="BIV212" s="28"/>
      <c r="BIW212" s="28"/>
      <c r="BIX212" s="28"/>
      <c r="BIY212" s="28"/>
      <c r="BIZ212" s="28"/>
      <c r="BJA212" s="28"/>
      <c r="BJB212" s="28"/>
      <c r="BJC212" s="28"/>
      <c r="BJD212" s="28"/>
      <c r="BJE212" s="28"/>
      <c r="BJF212" s="28"/>
      <c r="BJG212" s="28"/>
      <c r="BJH212" s="28"/>
      <c r="BJI212" s="28"/>
      <c r="BJJ212" s="28"/>
      <c r="BJK212" s="28"/>
      <c r="BJL212" s="28"/>
      <c r="BJM212" s="28"/>
      <c r="BJN212" s="28"/>
      <c r="BJO212" s="28"/>
      <c r="BJP212" s="28"/>
      <c r="BJQ212" s="28"/>
      <c r="BJR212" s="28"/>
      <c r="BJS212" s="28"/>
      <c r="BJT212" s="28"/>
      <c r="BJU212" s="28"/>
      <c r="BJV212" s="28"/>
      <c r="BJW212" s="28"/>
      <c r="BJX212" s="28"/>
      <c r="BJY212" s="28"/>
      <c r="BJZ212" s="28"/>
      <c r="BKA212" s="28"/>
      <c r="BKB212" s="28"/>
      <c r="BKC212" s="28"/>
      <c r="BKD212" s="28"/>
      <c r="BKE212" s="28"/>
      <c r="BKF212" s="28"/>
      <c r="BKG212" s="28"/>
      <c r="BKH212" s="28"/>
      <c r="BKI212" s="28"/>
      <c r="BKJ212" s="28"/>
      <c r="BKK212" s="28"/>
      <c r="BKL212" s="28"/>
      <c r="BKM212" s="28"/>
      <c r="BKN212" s="28"/>
      <c r="BKO212" s="28"/>
      <c r="BKP212" s="28"/>
      <c r="BKQ212" s="28"/>
      <c r="BKR212" s="28"/>
      <c r="BKS212" s="28"/>
      <c r="BKT212" s="28"/>
      <c r="BKU212" s="28"/>
      <c r="BKV212" s="28"/>
      <c r="BKW212" s="28"/>
      <c r="BKX212" s="28"/>
      <c r="BKY212" s="28"/>
      <c r="BKZ212" s="28"/>
      <c r="BLA212" s="28"/>
      <c r="BLB212" s="28"/>
      <c r="BLC212" s="28"/>
      <c r="BLD212" s="28"/>
      <c r="BLE212" s="28"/>
      <c r="BLF212" s="28"/>
      <c r="BLG212" s="28"/>
      <c r="BLH212" s="28"/>
      <c r="BLI212" s="28"/>
      <c r="BLJ212" s="28"/>
      <c r="BLK212" s="28"/>
      <c r="BLL212" s="28"/>
      <c r="BLM212" s="28"/>
      <c r="BLN212" s="28"/>
      <c r="BLO212" s="28"/>
      <c r="BLP212" s="28"/>
      <c r="BLQ212" s="28"/>
      <c r="BLR212" s="28"/>
      <c r="BLS212" s="28"/>
      <c r="BLT212" s="28"/>
      <c r="BLU212" s="28"/>
      <c r="BLV212" s="28"/>
      <c r="BLW212" s="28"/>
      <c r="BLX212" s="28"/>
      <c r="BLY212" s="28"/>
      <c r="BLZ212" s="28"/>
      <c r="BMA212" s="28"/>
      <c r="BMB212" s="28"/>
      <c r="BMC212" s="28"/>
      <c r="BMD212" s="28"/>
      <c r="BME212" s="28"/>
      <c r="BMF212" s="28"/>
      <c r="BMG212" s="28"/>
      <c r="BMH212" s="28"/>
      <c r="BMI212" s="28"/>
      <c r="BMJ212" s="28"/>
      <c r="BMK212" s="28"/>
      <c r="BML212" s="28"/>
      <c r="BMM212" s="28"/>
      <c r="BMN212" s="28"/>
      <c r="BMO212" s="28"/>
      <c r="BMP212" s="28"/>
      <c r="BMQ212" s="28"/>
      <c r="BMR212" s="28"/>
      <c r="BMS212" s="28"/>
      <c r="BMT212" s="28"/>
      <c r="BMU212" s="28"/>
      <c r="BMV212" s="28"/>
      <c r="BMW212" s="28"/>
      <c r="BMX212" s="28"/>
      <c r="BMY212" s="28"/>
      <c r="BMZ212" s="28"/>
      <c r="BNA212" s="28"/>
      <c r="BNB212" s="28"/>
      <c r="BNC212" s="28"/>
      <c r="BND212" s="28"/>
      <c r="BNE212" s="28"/>
      <c r="BNF212" s="28"/>
      <c r="BNG212" s="28"/>
      <c r="BNH212" s="28"/>
      <c r="BNI212" s="28"/>
      <c r="BNJ212" s="28"/>
      <c r="BNK212" s="28"/>
      <c r="BNL212" s="28"/>
      <c r="BNM212" s="28"/>
      <c r="BNN212" s="28"/>
      <c r="BNO212" s="28"/>
      <c r="BNP212" s="28"/>
      <c r="BNQ212" s="28"/>
      <c r="BNR212" s="28"/>
      <c r="BNS212" s="28"/>
      <c r="BNT212" s="28"/>
      <c r="BNU212" s="28"/>
      <c r="BNV212" s="28"/>
      <c r="BNW212" s="28"/>
      <c r="BNX212" s="28"/>
      <c r="BNY212" s="28"/>
      <c r="BNZ212" s="28"/>
      <c r="BOA212" s="28"/>
      <c r="BOB212" s="28"/>
      <c r="BOC212" s="28"/>
      <c r="BOD212" s="28"/>
      <c r="BOE212" s="28"/>
      <c r="BOF212" s="28"/>
      <c r="BOG212" s="28"/>
      <c r="BOH212" s="28"/>
      <c r="BOI212" s="28"/>
      <c r="BOJ212" s="28"/>
      <c r="BOK212" s="28"/>
      <c r="BOL212" s="28"/>
      <c r="BOM212" s="28"/>
      <c r="BON212" s="28"/>
      <c r="BOO212" s="28"/>
      <c r="BOP212" s="28"/>
      <c r="BOQ212" s="28"/>
      <c r="BOR212" s="28"/>
      <c r="BOS212" s="28"/>
      <c r="BOT212" s="28"/>
      <c r="BOU212" s="28"/>
      <c r="BOV212" s="28"/>
      <c r="BOW212" s="28"/>
      <c r="BOX212" s="28"/>
      <c r="BOY212" s="28"/>
      <c r="BOZ212" s="28"/>
      <c r="BPA212" s="28"/>
      <c r="BPB212" s="28"/>
      <c r="BPC212" s="28"/>
      <c r="BPD212" s="28"/>
      <c r="BPE212" s="28"/>
      <c r="BPF212" s="28"/>
      <c r="BPG212" s="28"/>
      <c r="BPH212" s="28"/>
      <c r="BPI212" s="28"/>
      <c r="BPJ212" s="28"/>
      <c r="BPK212" s="28"/>
      <c r="BPL212" s="28"/>
      <c r="BPM212" s="28"/>
      <c r="BPN212" s="28"/>
      <c r="BPO212" s="28"/>
      <c r="BPP212" s="28"/>
      <c r="BPQ212" s="28"/>
      <c r="BPR212" s="28"/>
      <c r="BPS212" s="28"/>
      <c r="BPT212" s="28"/>
      <c r="BPU212" s="28"/>
      <c r="BPV212" s="28"/>
      <c r="BPW212" s="28"/>
      <c r="BPX212" s="28"/>
      <c r="BPY212" s="28"/>
      <c r="BPZ212" s="28"/>
      <c r="BQA212" s="28"/>
      <c r="BQB212" s="28"/>
      <c r="BQC212" s="28"/>
      <c r="BQD212" s="28"/>
      <c r="BQE212" s="28"/>
      <c r="BQF212" s="28"/>
      <c r="BQG212" s="28"/>
      <c r="BQH212" s="28"/>
      <c r="BQI212" s="28"/>
      <c r="BQJ212" s="28"/>
      <c r="BQK212" s="28"/>
      <c r="BQL212" s="28"/>
      <c r="BQM212" s="28"/>
      <c r="BQN212" s="28"/>
      <c r="BQO212" s="28"/>
      <c r="BQP212" s="28"/>
      <c r="BQQ212" s="28"/>
      <c r="BQR212" s="28"/>
      <c r="BQS212" s="28"/>
      <c r="BQT212" s="28"/>
      <c r="BQU212" s="28"/>
      <c r="BQV212" s="28"/>
      <c r="BQW212" s="28"/>
      <c r="BQX212" s="28"/>
      <c r="BQY212" s="28"/>
      <c r="BQZ212" s="28"/>
      <c r="BRA212" s="28"/>
      <c r="BRB212" s="28"/>
      <c r="BRC212" s="28"/>
      <c r="BRD212" s="28"/>
      <c r="BRE212" s="28"/>
      <c r="BRF212" s="28"/>
      <c r="BRG212" s="28"/>
      <c r="BRH212" s="28"/>
      <c r="BRI212" s="28"/>
      <c r="BRJ212" s="28"/>
      <c r="BRK212" s="28"/>
      <c r="BRL212" s="28"/>
      <c r="BRM212" s="28"/>
      <c r="BRN212" s="28"/>
      <c r="BRO212" s="28"/>
      <c r="BRP212" s="28"/>
      <c r="BRQ212" s="28"/>
      <c r="BRR212" s="28"/>
      <c r="BRS212" s="28"/>
      <c r="BRT212" s="28"/>
      <c r="BRU212" s="28"/>
      <c r="BRV212" s="28"/>
      <c r="BRW212" s="28"/>
      <c r="BRX212" s="28"/>
      <c r="BRY212" s="28"/>
      <c r="BRZ212" s="28"/>
      <c r="BSA212" s="28"/>
      <c r="BSB212" s="28"/>
      <c r="BSC212" s="28"/>
      <c r="BSD212" s="28"/>
      <c r="BSE212" s="28"/>
      <c r="BSF212" s="28"/>
      <c r="BSG212" s="28"/>
      <c r="BSH212" s="28"/>
      <c r="BSI212" s="28"/>
      <c r="BSJ212" s="28"/>
      <c r="BSK212" s="28"/>
      <c r="BSL212" s="28"/>
      <c r="BSM212" s="28"/>
      <c r="BSN212" s="28"/>
      <c r="BSO212" s="28"/>
      <c r="BSP212" s="28"/>
      <c r="BSQ212" s="28"/>
      <c r="BSR212" s="28"/>
      <c r="BSS212" s="28"/>
      <c r="BST212" s="28"/>
      <c r="BSU212" s="28"/>
      <c r="BSV212" s="28"/>
      <c r="BSW212" s="28"/>
      <c r="BSX212" s="28"/>
      <c r="BSY212" s="28"/>
      <c r="BSZ212" s="28"/>
      <c r="BTA212" s="28"/>
      <c r="BTB212" s="28"/>
      <c r="BTC212" s="28"/>
      <c r="BTD212" s="28"/>
      <c r="BTE212" s="28"/>
      <c r="BTF212" s="28"/>
      <c r="BTG212" s="28"/>
      <c r="BTH212" s="28"/>
      <c r="BTI212" s="28"/>
      <c r="BTJ212" s="28"/>
      <c r="BTK212" s="28"/>
      <c r="BTL212" s="28"/>
      <c r="BTM212" s="28"/>
      <c r="BTN212" s="28"/>
      <c r="BTO212" s="28"/>
      <c r="BTP212" s="28"/>
      <c r="BTQ212" s="28"/>
      <c r="BTR212" s="28"/>
      <c r="BTS212" s="28"/>
      <c r="BTT212" s="28"/>
      <c r="BTU212" s="28"/>
      <c r="BTV212" s="28"/>
      <c r="BTW212" s="28"/>
      <c r="BTX212" s="28"/>
      <c r="BTY212" s="28"/>
      <c r="BTZ212" s="28"/>
      <c r="BUA212" s="28"/>
      <c r="BUB212" s="28"/>
      <c r="BUC212" s="28"/>
      <c r="BUD212" s="28"/>
      <c r="BUE212" s="28"/>
      <c r="BUF212" s="28"/>
      <c r="BUG212" s="28"/>
      <c r="BUH212" s="28"/>
      <c r="BUI212" s="28"/>
      <c r="BUJ212" s="28"/>
      <c r="BUK212" s="28"/>
      <c r="BUL212" s="28"/>
      <c r="BUM212" s="28"/>
      <c r="BUN212" s="28"/>
      <c r="BUO212" s="28"/>
      <c r="BUP212" s="28"/>
      <c r="BUQ212" s="28"/>
      <c r="BUR212" s="28"/>
      <c r="BUS212" s="28"/>
      <c r="BUT212" s="28"/>
      <c r="BUU212" s="28"/>
      <c r="BUV212" s="28"/>
      <c r="BUW212" s="28"/>
      <c r="BUX212" s="28"/>
      <c r="BUY212" s="28"/>
      <c r="BUZ212" s="28"/>
      <c r="BVA212" s="28"/>
      <c r="BVB212" s="28"/>
      <c r="BVC212" s="28"/>
      <c r="BVD212" s="28"/>
      <c r="BVE212" s="28"/>
      <c r="BVF212" s="28"/>
      <c r="BVG212" s="28"/>
      <c r="BVH212" s="28"/>
      <c r="BVI212" s="28"/>
      <c r="BVJ212" s="28"/>
      <c r="BVK212" s="28"/>
      <c r="BVL212" s="28"/>
      <c r="BVM212" s="28"/>
      <c r="BVN212" s="28"/>
      <c r="BVO212" s="28"/>
      <c r="BVP212" s="28"/>
      <c r="BVQ212" s="28"/>
      <c r="BVR212" s="28"/>
      <c r="BVS212" s="28"/>
      <c r="BVT212" s="28"/>
      <c r="BVU212" s="28"/>
      <c r="BVV212" s="28"/>
      <c r="BVW212" s="28"/>
      <c r="BVX212" s="28"/>
      <c r="BVY212" s="28"/>
      <c r="BVZ212" s="28"/>
      <c r="BWA212" s="28"/>
      <c r="BWB212" s="28"/>
      <c r="BWC212" s="28"/>
      <c r="BWD212" s="28"/>
      <c r="BWE212" s="28"/>
      <c r="BWF212" s="28"/>
      <c r="BWG212" s="28"/>
      <c r="BWH212" s="28"/>
      <c r="BWI212" s="28"/>
      <c r="BWJ212" s="28"/>
      <c r="BWK212" s="28"/>
      <c r="BWL212" s="28"/>
      <c r="BWM212" s="28"/>
      <c r="BWN212" s="28"/>
      <c r="BWO212" s="28"/>
      <c r="BWP212" s="28"/>
      <c r="BWQ212" s="28"/>
      <c r="BWR212" s="28"/>
      <c r="BWS212" s="28"/>
      <c r="BWT212" s="28"/>
      <c r="BWU212" s="28"/>
      <c r="BWV212" s="28"/>
      <c r="BWW212" s="28"/>
      <c r="BWX212" s="28"/>
      <c r="BWY212" s="28"/>
      <c r="BWZ212" s="28"/>
      <c r="BXA212" s="28"/>
      <c r="BXB212" s="28"/>
      <c r="BXC212" s="28"/>
      <c r="BXD212" s="28"/>
      <c r="BXE212" s="28"/>
      <c r="BXF212" s="28"/>
      <c r="BXG212" s="28"/>
      <c r="BXH212" s="28"/>
      <c r="BXI212" s="28"/>
      <c r="BXJ212" s="28"/>
      <c r="BXK212" s="28"/>
      <c r="BXL212" s="28"/>
      <c r="BXM212" s="28"/>
      <c r="BXN212" s="28"/>
      <c r="BXO212" s="28"/>
      <c r="BXP212" s="28"/>
      <c r="BXQ212" s="28"/>
      <c r="BXR212" s="28"/>
      <c r="BXS212" s="28"/>
      <c r="BXT212" s="28"/>
      <c r="BXU212" s="28"/>
      <c r="BXV212" s="28"/>
      <c r="BXW212" s="28"/>
      <c r="BXX212" s="28"/>
      <c r="BXY212" s="28"/>
      <c r="BXZ212" s="28"/>
      <c r="BYA212" s="28"/>
      <c r="BYB212" s="28"/>
      <c r="BYC212" s="28"/>
      <c r="BYD212" s="28"/>
      <c r="BYE212" s="28"/>
      <c r="BYF212" s="28"/>
      <c r="BYG212" s="28"/>
      <c r="BYH212" s="28"/>
      <c r="BYI212" s="28"/>
      <c r="BYJ212" s="28"/>
      <c r="BYK212" s="28"/>
      <c r="BYL212" s="28"/>
      <c r="BYM212" s="28"/>
      <c r="BYN212" s="28"/>
      <c r="BYO212" s="28"/>
      <c r="BYP212" s="28"/>
      <c r="BYQ212" s="28"/>
      <c r="BYR212" s="28"/>
      <c r="BYS212" s="28"/>
      <c r="BYT212" s="28"/>
      <c r="BYU212" s="28"/>
      <c r="BYV212" s="28"/>
      <c r="BYW212" s="28"/>
      <c r="BYX212" s="28"/>
      <c r="BYY212" s="28"/>
      <c r="BYZ212" s="28"/>
      <c r="BZA212" s="28"/>
      <c r="BZB212" s="28"/>
      <c r="BZC212" s="28"/>
      <c r="BZD212" s="28"/>
      <c r="BZE212" s="28"/>
      <c r="BZF212" s="28"/>
      <c r="BZG212" s="28"/>
      <c r="BZH212" s="28"/>
      <c r="BZI212" s="28"/>
      <c r="BZJ212" s="28"/>
      <c r="BZK212" s="28"/>
      <c r="BZL212" s="28"/>
      <c r="BZM212" s="28"/>
      <c r="BZN212" s="28"/>
      <c r="BZO212" s="28"/>
      <c r="BZP212" s="28"/>
      <c r="BZQ212" s="28"/>
      <c r="BZR212" s="28"/>
      <c r="BZS212" s="28"/>
      <c r="BZT212" s="28"/>
      <c r="BZU212" s="28"/>
      <c r="BZV212" s="28"/>
      <c r="BZW212" s="28"/>
      <c r="BZX212" s="28"/>
      <c r="BZY212" s="28"/>
      <c r="BZZ212" s="28"/>
      <c r="CAA212" s="28"/>
      <c r="CAB212" s="28"/>
      <c r="CAC212" s="28"/>
      <c r="CAD212" s="28"/>
      <c r="CAE212" s="28"/>
      <c r="CAF212" s="28"/>
      <c r="CAG212" s="28"/>
      <c r="CAH212" s="28"/>
      <c r="CAI212" s="28"/>
      <c r="CAJ212" s="28"/>
      <c r="CAK212" s="28"/>
      <c r="CAL212" s="28"/>
      <c r="CAM212" s="28"/>
      <c r="CAN212" s="28"/>
      <c r="CAO212" s="28"/>
      <c r="CAP212" s="28"/>
      <c r="CAQ212" s="28"/>
      <c r="CAR212" s="28"/>
      <c r="CAS212" s="28"/>
      <c r="CAT212" s="28"/>
      <c r="CAU212" s="28"/>
      <c r="CAV212" s="28"/>
      <c r="CAW212" s="28"/>
      <c r="CAX212" s="28"/>
      <c r="CAY212" s="28"/>
      <c r="CAZ212" s="28"/>
      <c r="CBA212" s="28"/>
      <c r="CBB212" s="28"/>
      <c r="CBC212" s="28"/>
      <c r="CBD212" s="28"/>
      <c r="CBE212" s="28"/>
      <c r="CBF212" s="28"/>
      <c r="CBG212" s="28"/>
      <c r="CBH212" s="28"/>
      <c r="CBI212" s="28"/>
      <c r="CBJ212" s="28"/>
      <c r="CBK212" s="28"/>
      <c r="CBL212" s="28"/>
      <c r="CBM212" s="28"/>
      <c r="CBN212" s="28"/>
      <c r="CBO212" s="28"/>
      <c r="CBP212" s="28"/>
      <c r="CBQ212" s="28"/>
      <c r="CBR212" s="28"/>
      <c r="CBS212" s="28"/>
      <c r="CBT212" s="28"/>
      <c r="CBU212" s="28"/>
      <c r="CBV212" s="28"/>
      <c r="CBW212" s="28"/>
      <c r="CBX212" s="28"/>
      <c r="CBY212" s="28"/>
      <c r="CBZ212" s="28"/>
      <c r="CCA212" s="28"/>
      <c r="CCB212" s="28"/>
      <c r="CCC212" s="28"/>
      <c r="CCD212" s="28"/>
      <c r="CCE212" s="28"/>
      <c r="CCF212" s="28"/>
      <c r="CCG212" s="28"/>
      <c r="CCH212" s="28"/>
      <c r="CCI212" s="28"/>
      <c r="CCJ212" s="28"/>
      <c r="CCK212" s="28"/>
      <c r="CCL212" s="28"/>
      <c r="CCM212" s="28"/>
      <c r="CCN212" s="28"/>
      <c r="CCO212" s="28"/>
      <c r="CCP212" s="28"/>
      <c r="CCQ212" s="28"/>
      <c r="CCR212" s="28"/>
      <c r="CCS212" s="28"/>
      <c r="CCT212" s="28"/>
      <c r="CCU212" s="28"/>
      <c r="CCV212" s="28"/>
      <c r="CCW212" s="28"/>
      <c r="CCX212" s="28"/>
      <c r="CCY212" s="28"/>
      <c r="CCZ212" s="28"/>
      <c r="CDA212" s="28"/>
      <c r="CDB212" s="28"/>
      <c r="CDC212" s="28"/>
      <c r="CDD212" s="28"/>
      <c r="CDE212" s="28"/>
      <c r="CDF212" s="28"/>
      <c r="CDG212" s="28"/>
      <c r="CDH212" s="28"/>
      <c r="CDI212" s="28"/>
      <c r="CDJ212" s="28"/>
      <c r="CDK212" s="28"/>
      <c r="CDL212" s="28"/>
      <c r="CDM212" s="28"/>
      <c r="CDN212" s="28"/>
      <c r="CDO212" s="28"/>
      <c r="CDP212" s="28"/>
      <c r="CDQ212" s="28"/>
      <c r="CDR212" s="28"/>
      <c r="CDS212" s="28"/>
      <c r="CDT212" s="28"/>
      <c r="CDU212" s="28"/>
      <c r="CDV212" s="28"/>
      <c r="CDW212" s="28"/>
      <c r="CDX212" s="28"/>
      <c r="CDY212" s="28"/>
      <c r="CDZ212" s="28"/>
      <c r="CEA212" s="28"/>
      <c r="CEB212" s="28"/>
      <c r="CEC212" s="28"/>
      <c r="CED212" s="28"/>
      <c r="CEE212" s="28"/>
      <c r="CEF212" s="28"/>
      <c r="CEG212" s="28"/>
      <c r="CEH212" s="28"/>
      <c r="CEI212" s="28"/>
      <c r="CEJ212" s="28"/>
      <c r="CEK212" s="28"/>
      <c r="CEL212" s="28"/>
      <c r="CEM212" s="28"/>
      <c r="CEN212" s="28"/>
      <c r="CEO212" s="28"/>
      <c r="CEP212" s="28"/>
      <c r="CEQ212" s="28"/>
      <c r="CER212" s="28"/>
      <c r="CES212" s="28"/>
      <c r="CET212" s="28"/>
      <c r="CEU212" s="28"/>
      <c r="CEV212" s="28"/>
      <c r="CEW212" s="28"/>
      <c r="CEX212" s="28"/>
      <c r="CEY212" s="28"/>
      <c r="CEZ212" s="28"/>
      <c r="CFA212" s="28"/>
      <c r="CFB212" s="28"/>
      <c r="CFC212" s="28"/>
      <c r="CFD212" s="28"/>
      <c r="CFE212" s="28"/>
      <c r="CFF212" s="28"/>
      <c r="CFG212" s="28"/>
      <c r="CFH212" s="28"/>
      <c r="CFI212" s="28"/>
      <c r="CFJ212" s="28"/>
      <c r="CFK212" s="28"/>
      <c r="CFL212" s="28"/>
      <c r="CFM212" s="28"/>
      <c r="CFN212" s="28"/>
      <c r="CFO212" s="28"/>
      <c r="CFP212" s="28"/>
      <c r="CFQ212" s="28"/>
      <c r="CFR212" s="28"/>
      <c r="CFS212" s="28"/>
      <c r="CFT212" s="28"/>
      <c r="CFU212" s="28"/>
      <c r="CFV212" s="28"/>
      <c r="CFW212" s="28"/>
      <c r="CFX212" s="28"/>
      <c r="CFY212" s="28"/>
      <c r="CFZ212" s="28"/>
      <c r="CGA212" s="28"/>
      <c r="CGB212" s="28"/>
      <c r="CGC212" s="28"/>
      <c r="CGD212" s="28"/>
      <c r="CGE212" s="28"/>
      <c r="CGF212" s="28"/>
      <c r="CGG212" s="28"/>
      <c r="CGH212" s="28"/>
      <c r="CGI212" s="28"/>
      <c r="CGJ212" s="28"/>
      <c r="CGK212" s="28"/>
      <c r="CGL212" s="28"/>
      <c r="CGM212" s="28"/>
      <c r="CGN212" s="28"/>
      <c r="CGO212" s="28"/>
      <c r="CGP212" s="28"/>
      <c r="CGQ212" s="28"/>
      <c r="CGR212" s="28"/>
      <c r="CGS212" s="28"/>
      <c r="CGT212" s="28"/>
      <c r="CGU212" s="28"/>
      <c r="CGV212" s="28"/>
      <c r="CGW212" s="28"/>
      <c r="CGX212" s="28"/>
      <c r="CGY212" s="28"/>
      <c r="CGZ212" s="28"/>
      <c r="CHA212" s="28"/>
      <c r="CHB212" s="28"/>
      <c r="CHC212" s="28"/>
      <c r="CHD212" s="28"/>
      <c r="CHE212" s="28"/>
      <c r="CHF212" s="28"/>
      <c r="CHG212" s="28"/>
      <c r="CHH212" s="28"/>
      <c r="CHI212" s="28"/>
      <c r="CHJ212" s="28"/>
      <c r="CHK212" s="28"/>
      <c r="CHL212" s="28"/>
      <c r="CHM212" s="28"/>
      <c r="CHN212" s="28"/>
      <c r="CHO212" s="28"/>
      <c r="CHP212" s="28"/>
      <c r="CHQ212" s="28"/>
      <c r="CHR212" s="28"/>
      <c r="CHS212" s="28"/>
      <c r="CHT212" s="28"/>
      <c r="CHU212" s="28"/>
      <c r="CHV212" s="28"/>
      <c r="CHW212" s="28"/>
      <c r="CHX212" s="28"/>
      <c r="CHY212" s="28"/>
      <c r="CHZ212" s="28"/>
      <c r="CIA212" s="28"/>
      <c r="CIB212" s="28"/>
      <c r="CIC212" s="28"/>
      <c r="CID212" s="28"/>
      <c r="CIE212" s="28"/>
      <c r="CIF212" s="28"/>
      <c r="CIG212" s="28"/>
      <c r="CIH212" s="28"/>
      <c r="CII212" s="28"/>
      <c r="CIJ212" s="28"/>
      <c r="CIK212" s="28"/>
      <c r="CIL212" s="28"/>
      <c r="CIM212" s="28"/>
      <c r="CIN212" s="28"/>
      <c r="CIO212" s="28"/>
      <c r="CIP212" s="28"/>
      <c r="CIQ212" s="28"/>
      <c r="CIR212" s="28"/>
      <c r="CIS212" s="28"/>
      <c r="CIT212" s="28"/>
      <c r="CIU212" s="28"/>
      <c r="CIV212" s="28"/>
      <c r="CIW212" s="28"/>
      <c r="CIX212" s="28"/>
      <c r="CIY212" s="28"/>
      <c r="CIZ212" s="28"/>
      <c r="CJA212" s="28"/>
      <c r="CJB212" s="28"/>
      <c r="CJC212" s="28"/>
      <c r="CJD212" s="28"/>
      <c r="CJE212" s="28"/>
      <c r="CJF212" s="28"/>
      <c r="CJG212" s="28"/>
      <c r="CJH212" s="28"/>
      <c r="CJI212" s="28"/>
      <c r="CJJ212" s="28"/>
      <c r="CJK212" s="28"/>
      <c r="CJL212" s="28"/>
      <c r="CJM212" s="28"/>
      <c r="CJN212" s="28"/>
      <c r="CJO212" s="28"/>
      <c r="CJP212" s="28"/>
      <c r="CJQ212" s="28"/>
      <c r="CJR212" s="28"/>
      <c r="CJS212" s="28"/>
      <c r="CJT212" s="28"/>
      <c r="CJU212" s="28"/>
      <c r="CJV212" s="28"/>
      <c r="CJW212" s="28"/>
      <c r="CJX212" s="28"/>
      <c r="CJY212" s="28"/>
      <c r="CJZ212" s="28"/>
      <c r="CKA212" s="28"/>
      <c r="CKB212" s="28"/>
      <c r="CKC212" s="28"/>
      <c r="CKD212" s="28"/>
      <c r="CKE212" s="28"/>
      <c r="CKF212" s="28"/>
      <c r="CKG212" s="28"/>
      <c r="CKH212" s="28"/>
      <c r="CKI212" s="28"/>
      <c r="CKJ212" s="28"/>
      <c r="CKK212" s="28"/>
      <c r="CKL212" s="28"/>
      <c r="CKM212" s="28"/>
      <c r="CKN212" s="28"/>
      <c r="CKO212" s="28"/>
      <c r="CKP212" s="28"/>
      <c r="CKQ212" s="28"/>
      <c r="CKR212" s="28"/>
      <c r="CKS212" s="28"/>
      <c r="CKT212" s="28"/>
      <c r="CKU212" s="28"/>
      <c r="CKV212" s="28"/>
      <c r="CKW212" s="28"/>
      <c r="CKX212" s="28"/>
      <c r="CKY212" s="28"/>
      <c r="CKZ212" s="28"/>
      <c r="CLA212" s="28"/>
      <c r="CLB212" s="28"/>
      <c r="CLC212" s="28"/>
      <c r="CLD212" s="28"/>
      <c r="CLE212" s="28"/>
      <c r="CLF212" s="28"/>
      <c r="CLG212" s="28"/>
      <c r="CLH212" s="28"/>
      <c r="CLI212" s="28"/>
      <c r="CLJ212" s="28"/>
      <c r="CLK212" s="28"/>
      <c r="CLL212" s="28"/>
      <c r="CLM212" s="28"/>
      <c r="CLN212" s="28"/>
      <c r="CLO212" s="28"/>
      <c r="CLP212" s="28"/>
      <c r="CLQ212" s="28"/>
      <c r="CLR212" s="28"/>
      <c r="CLS212" s="28"/>
      <c r="CLT212" s="28"/>
      <c r="CLU212" s="28"/>
      <c r="CLV212" s="28"/>
      <c r="CLW212" s="28"/>
      <c r="CLX212" s="28"/>
      <c r="CLY212" s="28"/>
      <c r="CLZ212" s="28"/>
      <c r="CMA212" s="28"/>
      <c r="CMB212" s="28"/>
      <c r="CMC212" s="28"/>
      <c r="CMD212" s="28"/>
      <c r="CME212" s="28"/>
      <c r="CMF212" s="28"/>
      <c r="CMG212" s="28"/>
      <c r="CMH212" s="28"/>
      <c r="CMI212" s="28"/>
      <c r="CMJ212" s="28"/>
      <c r="CMK212" s="28"/>
      <c r="CML212" s="28"/>
      <c r="CMM212" s="28"/>
      <c r="CMN212" s="28"/>
      <c r="CMO212" s="28"/>
      <c r="CMP212" s="28"/>
      <c r="CMQ212" s="28"/>
      <c r="CMR212" s="28"/>
      <c r="CMS212" s="28"/>
      <c r="CMT212" s="28"/>
      <c r="CMU212" s="28"/>
      <c r="CMV212" s="28"/>
      <c r="CMW212" s="28"/>
      <c r="CMX212" s="28"/>
      <c r="CMY212" s="28"/>
      <c r="CMZ212" s="28"/>
      <c r="CNA212" s="28"/>
      <c r="CNB212" s="28"/>
      <c r="CNC212" s="28"/>
      <c r="CND212" s="28"/>
      <c r="CNE212" s="28"/>
      <c r="CNF212" s="28"/>
      <c r="CNG212" s="28"/>
      <c r="CNH212" s="28"/>
      <c r="CNI212" s="28"/>
      <c r="CNJ212" s="28"/>
      <c r="CNK212" s="28"/>
      <c r="CNL212" s="28"/>
      <c r="CNM212" s="28"/>
      <c r="CNN212" s="28"/>
      <c r="CNO212" s="28"/>
      <c r="CNP212" s="28"/>
      <c r="CNQ212" s="28"/>
      <c r="CNR212" s="28"/>
      <c r="CNS212" s="28"/>
      <c r="CNT212" s="28"/>
      <c r="CNU212" s="28"/>
      <c r="CNV212" s="28"/>
      <c r="CNW212" s="28"/>
      <c r="CNX212" s="28"/>
      <c r="CNY212" s="28"/>
      <c r="CNZ212" s="28"/>
      <c r="COA212" s="28"/>
      <c r="COB212" s="28"/>
      <c r="COC212" s="28"/>
      <c r="COD212" s="28"/>
      <c r="COE212" s="28"/>
      <c r="COF212" s="28"/>
      <c r="COG212" s="28"/>
      <c r="COH212" s="28"/>
      <c r="COI212" s="28"/>
      <c r="COJ212" s="28"/>
      <c r="COK212" s="28"/>
      <c r="COL212" s="28"/>
      <c r="COM212" s="28"/>
      <c r="CON212" s="28"/>
      <c r="COO212" s="28"/>
      <c r="COP212" s="28"/>
      <c r="COQ212" s="28"/>
      <c r="COR212" s="28"/>
      <c r="COS212" s="28"/>
      <c r="COT212" s="28"/>
      <c r="COU212" s="28"/>
      <c r="COV212" s="28"/>
      <c r="COW212" s="28"/>
      <c r="COX212" s="28"/>
      <c r="COY212" s="28"/>
      <c r="COZ212" s="28"/>
      <c r="CPA212" s="28"/>
      <c r="CPB212" s="28"/>
      <c r="CPC212" s="28"/>
      <c r="CPD212" s="28"/>
      <c r="CPE212" s="28"/>
      <c r="CPF212" s="28"/>
      <c r="CPG212" s="28"/>
      <c r="CPH212" s="28"/>
      <c r="CPI212" s="28"/>
      <c r="CPJ212" s="28"/>
      <c r="CPK212" s="28"/>
      <c r="CPL212" s="28"/>
      <c r="CPM212" s="28"/>
      <c r="CPN212" s="28"/>
      <c r="CPO212" s="28"/>
      <c r="CPP212" s="28"/>
      <c r="CPQ212" s="28"/>
      <c r="CPR212" s="28"/>
      <c r="CPS212" s="28"/>
      <c r="CPT212" s="28"/>
      <c r="CPU212" s="28"/>
      <c r="CPV212" s="28"/>
      <c r="CPW212" s="28"/>
      <c r="CPX212" s="28"/>
      <c r="CPY212" s="28"/>
      <c r="CPZ212" s="28"/>
      <c r="CQA212" s="28"/>
      <c r="CQB212" s="28"/>
      <c r="CQC212" s="28"/>
      <c r="CQD212" s="28"/>
      <c r="CQE212" s="28"/>
      <c r="CQF212" s="28"/>
      <c r="CQG212" s="28"/>
      <c r="CQH212" s="28"/>
      <c r="CQI212" s="28"/>
      <c r="CQJ212" s="28"/>
      <c r="CQK212" s="28"/>
      <c r="CQL212" s="28"/>
      <c r="CQM212" s="28"/>
      <c r="CQN212" s="28"/>
      <c r="CQO212" s="28"/>
      <c r="CQP212" s="28"/>
      <c r="CQQ212" s="28"/>
      <c r="CQR212" s="28"/>
      <c r="CQS212" s="28"/>
      <c r="CQT212" s="28"/>
      <c r="CQU212" s="28"/>
      <c r="CQV212" s="28"/>
      <c r="CQW212" s="28"/>
      <c r="CQX212" s="28"/>
      <c r="CQY212" s="28"/>
      <c r="CQZ212" s="28"/>
      <c r="CRA212" s="28"/>
      <c r="CRB212" s="28"/>
      <c r="CRC212" s="28"/>
      <c r="CRD212" s="28"/>
      <c r="CRE212" s="28"/>
      <c r="CRF212" s="28"/>
      <c r="CRG212" s="28"/>
      <c r="CRH212" s="28"/>
      <c r="CRI212" s="28"/>
      <c r="CRJ212" s="28"/>
      <c r="CRK212" s="28"/>
      <c r="CRL212" s="28"/>
      <c r="CRM212" s="28"/>
      <c r="CRN212" s="28"/>
      <c r="CRO212" s="28"/>
      <c r="CRP212" s="28"/>
      <c r="CRQ212" s="28"/>
      <c r="CRR212" s="28"/>
      <c r="CRS212" s="28"/>
      <c r="CRT212" s="28"/>
      <c r="CRU212" s="28"/>
      <c r="CRV212" s="28"/>
      <c r="CRW212" s="28"/>
      <c r="CRX212" s="28"/>
      <c r="CRY212" s="28"/>
      <c r="CRZ212" s="28"/>
      <c r="CSA212" s="28"/>
      <c r="CSB212" s="28"/>
      <c r="CSC212" s="28"/>
      <c r="CSD212" s="28"/>
      <c r="CSE212" s="28"/>
      <c r="CSF212" s="28"/>
      <c r="CSG212" s="28"/>
      <c r="CSH212" s="28"/>
      <c r="CSI212" s="28"/>
      <c r="CSJ212" s="28"/>
      <c r="CSK212" s="28"/>
      <c r="CSL212" s="28"/>
      <c r="CSM212" s="28"/>
      <c r="CSN212" s="28"/>
      <c r="CSO212" s="28"/>
      <c r="CSP212" s="28"/>
      <c r="CSQ212" s="28"/>
      <c r="CSR212" s="28"/>
      <c r="CSS212" s="28"/>
      <c r="CST212" s="28"/>
      <c r="CSU212" s="28"/>
      <c r="CSV212" s="28"/>
      <c r="CSW212" s="28"/>
      <c r="CSX212" s="28"/>
      <c r="CSY212" s="28"/>
      <c r="CSZ212" s="28"/>
      <c r="CTA212" s="28"/>
      <c r="CTB212" s="28"/>
      <c r="CTC212" s="28"/>
      <c r="CTD212" s="28"/>
      <c r="CTE212" s="28"/>
      <c r="CTF212" s="28"/>
      <c r="CTG212" s="28"/>
      <c r="CTH212" s="28"/>
      <c r="CTI212" s="28"/>
      <c r="CTJ212" s="28"/>
      <c r="CTK212" s="28"/>
      <c r="CTL212" s="28"/>
      <c r="CTM212" s="28"/>
      <c r="CTN212" s="28"/>
      <c r="CTO212" s="28"/>
      <c r="CTP212" s="28"/>
      <c r="CTQ212" s="28"/>
      <c r="CTR212" s="28"/>
      <c r="CTS212" s="28"/>
      <c r="CTT212" s="28"/>
      <c r="CTU212" s="28"/>
      <c r="CTV212" s="28"/>
      <c r="CTW212" s="28"/>
      <c r="CTX212" s="28"/>
      <c r="CTY212" s="28"/>
      <c r="CTZ212" s="28"/>
      <c r="CUA212" s="28"/>
      <c r="CUB212" s="28"/>
      <c r="CUC212" s="28"/>
      <c r="CUD212" s="28"/>
      <c r="CUE212" s="28"/>
      <c r="CUF212" s="28"/>
      <c r="CUG212" s="28"/>
      <c r="CUH212" s="28"/>
      <c r="CUI212" s="28"/>
      <c r="CUJ212" s="28"/>
      <c r="CUK212" s="28"/>
      <c r="CUL212" s="28"/>
      <c r="CUM212" s="28"/>
      <c r="CUN212" s="28"/>
      <c r="CUO212" s="28"/>
      <c r="CUP212" s="28"/>
      <c r="CUQ212" s="28"/>
      <c r="CUR212" s="28"/>
      <c r="CUS212" s="28"/>
      <c r="CUT212" s="28"/>
      <c r="CUU212" s="28"/>
      <c r="CUV212" s="28"/>
      <c r="CUW212" s="28"/>
      <c r="CUX212" s="28"/>
      <c r="CUY212" s="28"/>
      <c r="CUZ212" s="28"/>
      <c r="CVA212" s="28"/>
      <c r="CVB212" s="28"/>
      <c r="CVC212" s="28"/>
      <c r="CVD212" s="28"/>
      <c r="CVE212" s="28"/>
      <c r="CVF212" s="28"/>
      <c r="CVG212" s="28"/>
      <c r="CVH212" s="28"/>
      <c r="CVI212" s="28"/>
      <c r="CVJ212" s="28"/>
      <c r="CVK212" s="28"/>
      <c r="CVL212" s="28"/>
      <c r="CVM212" s="28"/>
      <c r="CVN212" s="28"/>
      <c r="CVO212" s="28"/>
      <c r="CVP212" s="28"/>
      <c r="CVQ212" s="28"/>
      <c r="CVR212" s="28"/>
      <c r="CVS212" s="28"/>
      <c r="CVT212" s="28"/>
      <c r="CVU212" s="28"/>
      <c r="CVV212" s="28"/>
      <c r="CVW212" s="28"/>
      <c r="CVX212" s="28"/>
      <c r="CVY212" s="28"/>
      <c r="CVZ212" s="28"/>
      <c r="CWA212" s="28"/>
      <c r="CWB212" s="28"/>
      <c r="CWC212" s="28"/>
      <c r="CWD212" s="28"/>
      <c r="CWE212" s="28"/>
      <c r="CWF212" s="28"/>
      <c r="CWG212" s="28"/>
      <c r="CWH212" s="28"/>
      <c r="CWI212" s="28"/>
      <c r="CWJ212" s="28"/>
      <c r="CWK212" s="28"/>
      <c r="CWL212" s="28"/>
      <c r="CWM212" s="28"/>
      <c r="CWN212" s="28"/>
      <c r="CWO212" s="28"/>
      <c r="CWP212" s="28"/>
      <c r="CWQ212" s="28"/>
      <c r="CWR212" s="28"/>
      <c r="CWS212" s="28"/>
      <c r="CWT212" s="28"/>
      <c r="CWU212" s="28"/>
      <c r="CWV212" s="28"/>
      <c r="CWW212" s="28"/>
      <c r="CWX212" s="28"/>
      <c r="CWY212" s="28"/>
      <c r="CWZ212" s="28"/>
      <c r="CXA212" s="28"/>
      <c r="CXB212" s="28"/>
      <c r="CXC212" s="28"/>
      <c r="CXD212" s="28"/>
      <c r="CXE212" s="28"/>
      <c r="CXF212" s="28"/>
      <c r="CXG212" s="28"/>
      <c r="CXH212" s="28"/>
      <c r="CXI212" s="28"/>
      <c r="CXJ212" s="28"/>
      <c r="CXK212" s="28"/>
      <c r="CXL212" s="28"/>
      <c r="CXM212" s="28"/>
      <c r="CXN212" s="28"/>
      <c r="CXO212" s="28"/>
      <c r="CXP212" s="28"/>
      <c r="CXQ212" s="28"/>
      <c r="CXR212" s="28"/>
      <c r="CXS212" s="28"/>
      <c r="CXT212" s="28"/>
      <c r="CXU212" s="28"/>
      <c r="CXV212" s="28"/>
      <c r="CXW212" s="28"/>
      <c r="CXX212" s="28"/>
      <c r="CXY212" s="28"/>
      <c r="CXZ212" s="28"/>
      <c r="CYA212" s="28"/>
      <c r="CYB212" s="28"/>
      <c r="CYC212" s="28"/>
      <c r="CYD212" s="28"/>
      <c r="CYE212" s="28"/>
      <c r="CYF212" s="28"/>
      <c r="CYG212" s="28"/>
      <c r="CYH212" s="28"/>
      <c r="CYI212" s="28"/>
      <c r="CYJ212" s="28"/>
      <c r="CYK212" s="28"/>
      <c r="CYL212" s="28"/>
      <c r="CYM212" s="28"/>
      <c r="CYN212" s="28"/>
      <c r="CYO212" s="28"/>
      <c r="CYP212" s="28"/>
      <c r="CYQ212" s="28"/>
      <c r="CYR212" s="28"/>
      <c r="CYS212" s="28"/>
      <c r="CYT212" s="28"/>
      <c r="CYU212" s="28"/>
      <c r="CYV212" s="28"/>
      <c r="CYW212" s="28"/>
      <c r="CYX212" s="28"/>
      <c r="CYY212" s="28"/>
      <c r="CYZ212" s="28"/>
      <c r="CZA212" s="28"/>
      <c r="CZB212" s="28"/>
      <c r="CZC212" s="28"/>
      <c r="CZD212" s="28"/>
      <c r="CZE212" s="28"/>
      <c r="CZF212" s="28"/>
      <c r="CZG212" s="28"/>
      <c r="CZH212" s="28"/>
      <c r="CZI212" s="28"/>
      <c r="CZJ212" s="28"/>
      <c r="CZK212" s="28"/>
      <c r="CZL212" s="28"/>
      <c r="CZM212" s="28"/>
      <c r="CZN212" s="28"/>
      <c r="CZO212" s="28"/>
      <c r="CZP212" s="28"/>
      <c r="CZQ212" s="28"/>
      <c r="CZR212" s="28"/>
      <c r="CZS212" s="28"/>
      <c r="CZT212" s="28"/>
      <c r="CZU212" s="28"/>
      <c r="CZV212" s="28"/>
      <c r="CZW212" s="28"/>
      <c r="CZX212" s="28"/>
      <c r="CZY212" s="28"/>
      <c r="CZZ212" s="28"/>
      <c r="DAA212" s="28"/>
      <c r="DAB212" s="28"/>
      <c r="DAC212" s="28"/>
      <c r="DAD212" s="28"/>
      <c r="DAE212" s="28"/>
      <c r="DAF212" s="28"/>
      <c r="DAG212" s="28"/>
      <c r="DAH212" s="28"/>
      <c r="DAI212" s="28"/>
      <c r="DAJ212" s="28"/>
      <c r="DAK212" s="28"/>
      <c r="DAL212" s="28"/>
      <c r="DAM212" s="28"/>
      <c r="DAN212" s="28"/>
      <c r="DAO212" s="28"/>
      <c r="DAP212" s="28"/>
      <c r="DAQ212" s="28"/>
      <c r="DAR212" s="28"/>
      <c r="DAS212" s="28"/>
      <c r="DAT212" s="28"/>
      <c r="DAU212" s="28"/>
      <c r="DAV212" s="28"/>
      <c r="DAW212" s="28"/>
      <c r="DAX212" s="28"/>
      <c r="DAY212" s="28"/>
      <c r="DAZ212" s="28"/>
      <c r="DBA212" s="28"/>
      <c r="DBB212" s="28"/>
      <c r="DBC212" s="28"/>
      <c r="DBD212" s="28"/>
      <c r="DBE212" s="28"/>
      <c r="DBF212" s="28"/>
      <c r="DBG212" s="28"/>
      <c r="DBH212" s="28"/>
      <c r="DBI212" s="28"/>
      <c r="DBJ212" s="28"/>
      <c r="DBK212" s="28"/>
      <c r="DBL212" s="28"/>
      <c r="DBM212" s="28"/>
      <c r="DBN212" s="28"/>
      <c r="DBO212" s="28"/>
      <c r="DBP212" s="28"/>
      <c r="DBQ212" s="28"/>
      <c r="DBR212" s="28"/>
      <c r="DBS212" s="28"/>
      <c r="DBT212" s="28"/>
      <c r="DBU212" s="28"/>
      <c r="DBV212" s="28"/>
      <c r="DBW212" s="28"/>
      <c r="DBX212" s="28"/>
      <c r="DBY212" s="28"/>
      <c r="DBZ212" s="28"/>
      <c r="DCA212" s="28"/>
      <c r="DCB212" s="28"/>
      <c r="DCC212" s="28"/>
      <c r="DCD212" s="28"/>
      <c r="DCE212" s="28"/>
      <c r="DCF212" s="28"/>
      <c r="DCG212" s="28"/>
      <c r="DCH212" s="28"/>
      <c r="DCI212" s="28"/>
      <c r="DCJ212" s="28"/>
      <c r="DCK212" s="28"/>
      <c r="DCL212" s="28"/>
      <c r="DCM212" s="28"/>
      <c r="DCN212" s="28"/>
      <c r="DCO212" s="28"/>
      <c r="DCP212" s="28"/>
      <c r="DCQ212" s="28"/>
      <c r="DCR212" s="28"/>
      <c r="DCS212" s="28"/>
      <c r="DCT212" s="28"/>
      <c r="DCU212" s="28"/>
      <c r="DCV212" s="28"/>
      <c r="DCW212" s="28"/>
      <c r="DCX212" s="28"/>
      <c r="DCY212" s="28"/>
      <c r="DCZ212" s="28"/>
      <c r="DDA212" s="28"/>
      <c r="DDB212" s="28"/>
      <c r="DDC212" s="28"/>
      <c r="DDD212" s="28"/>
      <c r="DDE212" s="28"/>
      <c r="DDF212" s="28"/>
      <c r="DDG212" s="28"/>
      <c r="DDH212" s="28"/>
      <c r="DDI212" s="28"/>
      <c r="DDJ212" s="28"/>
      <c r="DDK212" s="28"/>
      <c r="DDL212" s="28"/>
      <c r="DDM212" s="28"/>
      <c r="DDN212" s="28"/>
      <c r="DDO212" s="28"/>
      <c r="DDP212" s="28"/>
      <c r="DDQ212" s="28"/>
      <c r="DDR212" s="28"/>
      <c r="DDS212" s="28"/>
      <c r="DDT212" s="28"/>
      <c r="DDU212" s="28"/>
      <c r="DDV212" s="28"/>
      <c r="DDW212" s="28"/>
      <c r="DDX212" s="28"/>
      <c r="DDY212" s="28"/>
      <c r="DDZ212" s="28"/>
      <c r="DEA212" s="28"/>
      <c r="DEB212" s="28"/>
      <c r="DEC212" s="28"/>
      <c r="DED212" s="28"/>
      <c r="DEE212" s="28"/>
      <c r="DEF212" s="28"/>
      <c r="DEG212" s="28"/>
      <c r="DEH212" s="28"/>
      <c r="DEI212" s="28"/>
      <c r="DEJ212" s="28"/>
      <c r="DEK212" s="28"/>
      <c r="DEL212" s="28"/>
      <c r="DEM212" s="28"/>
      <c r="DEN212" s="28"/>
      <c r="DEO212" s="28"/>
      <c r="DEP212" s="28"/>
      <c r="DEQ212" s="28"/>
      <c r="DER212" s="28"/>
      <c r="DES212" s="28"/>
      <c r="DET212" s="28"/>
      <c r="DEU212" s="28"/>
      <c r="DEV212" s="28"/>
      <c r="DEW212" s="28"/>
      <c r="DEX212" s="28"/>
      <c r="DEY212" s="28"/>
      <c r="DEZ212" s="28"/>
      <c r="DFA212" s="28"/>
      <c r="DFB212" s="28"/>
      <c r="DFC212" s="28"/>
      <c r="DFD212" s="28"/>
      <c r="DFE212" s="28"/>
      <c r="DFF212" s="28"/>
      <c r="DFG212" s="28"/>
      <c r="DFH212" s="28"/>
      <c r="DFI212" s="28"/>
      <c r="DFJ212" s="28"/>
      <c r="DFK212" s="28"/>
      <c r="DFL212" s="28"/>
      <c r="DFM212" s="28"/>
      <c r="DFN212" s="28"/>
      <c r="DFO212" s="28"/>
      <c r="DFP212" s="28"/>
      <c r="DFQ212" s="28"/>
      <c r="DFR212" s="28"/>
      <c r="DFS212" s="28"/>
      <c r="DFT212" s="28"/>
      <c r="DFU212" s="28"/>
      <c r="DFV212" s="28"/>
      <c r="DFW212" s="28"/>
      <c r="DFX212" s="28"/>
      <c r="DFY212" s="28"/>
      <c r="DFZ212" s="28"/>
      <c r="DGA212" s="28"/>
      <c r="DGB212" s="28"/>
      <c r="DGC212" s="28"/>
      <c r="DGD212" s="28"/>
      <c r="DGE212" s="28"/>
      <c r="DGF212" s="28"/>
      <c r="DGG212" s="28"/>
      <c r="DGH212" s="28"/>
      <c r="DGI212" s="28"/>
      <c r="DGJ212" s="28"/>
      <c r="DGK212" s="28"/>
      <c r="DGL212" s="28"/>
      <c r="DGM212" s="28"/>
      <c r="DGN212" s="28"/>
      <c r="DGO212" s="28"/>
      <c r="DGP212" s="28"/>
      <c r="DGQ212" s="28"/>
      <c r="DGR212" s="28"/>
      <c r="DGS212" s="28"/>
      <c r="DGT212" s="28"/>
      <c r="DGU212" s="28"/>
      <c r="DGV212" s="28"/>
      <c r="DGW212" s="28"/>
      <c r="DGX212" s="28"/>
      <c r="DGY212" s="28"/>
      <c r="DGZ212" s="28"/>
      <c r="DHA212" s="28"/>
      <c r="DHB212" s="28"/>
      <c r="DHC212" s="28"/>
      <c r="DHD212" s="28"/>
      <c r="DHE212" s="28"/>
      <c r="DHF212" s="28"/>
      <c r="DHG212" s="28"/>
      <c r="DHH212" s="28"/>
      <c r="DHI212" s="28"/>
      <c r="DHJ212" s="28"/>
      <c r="DHK212" s="28"/>
      <c r="DHL212" s="28"/>
      <c r="DHM212" s="28"/>
      <c r="DHN212" s="28"/>
      <c r="DHO212" s="28"/>
      <c r="DHP212" s="28"/>
      <c r="DHQ212" s="28"/>
      <c r="DHR212" s="28"/>
      <c r="DHS212" s="28"/>
      <c r="DHT212" s="28"/>
      <c r="DHU212" s="28"/>
      <c r="DHV212" s="28"/>
      <c r="DHW212" s="28"/>
      <c r="DHX212" s="28"/>
      <c r="DHY212" s="28"/>
      <c r="DHZ212" s="28"/>
      <c r="DIA212" s="28"/>
      <c r="DIB212" s="28"/>
      <c r="DIC212" s="28"/>
      <c r="DID212" s="28"/>
      <c r="DIE212" s="28"/>
      <c r="DIF212" s="28"/>
      <c r="DIG212" s="28"/>
      <c r="DIH212" s="28"/>
      <c r="DII212" s="28"/>
      <c r="DIJ212" s="28"/>
      <c r="DIK212" s="28"/>
      <c r="DIL212" s="28"/>
      <c r="DIM212" s="28"/>
      <c r="DIN212" s="28"/>
      <c r="DIO212" s="28"/>
      <c r="DIP212" s="28"/>
      <c r="DIQ212" s="28"/>
      <c r="DIR212" s="28"/>
      <c r="DIS212" s="28"/>
      <c r="DIT212" s="28"/>
      <c r="DIU212" s="28"/>
      <c r="DIV212" s="28"/>
      <c r="DIW212" s="28"/>
      <c r="DIX212" s="28"/>
      <c r="DIY212" s="28"/>
      <c r="DIZ212" s="28"/>
      <c r="DJA212" s="28"/>
      <c r="DJB212" s="28"/>
      <c r="DJC212" s="28"/>
      <c r="DJD212" s="28"/>
      <c r="DJE212" s="28"/>
      <c r="DJF212" s="28"/>
      <c r="DJG212" s="28"/>
      <c r="DJH212" s="28"/>
      <c r="DJI212" s="28"/>
      <c r="DJJ212" s="28"/>
      <c r="DJK212" s="28"/>
      <c r="DJL212" s="28"/>
      <c r="DJM212" s="28"/>
      <c r="DJN212" s="28"/>
      <c r="DJO212" s="28"/>
      <c r="DJP212" s="28"/>
      <c r="DJQ212" s="28"/>
      <c r="DJR212" s="28"/>
      <c r="DJS212" s="28"/>
      <c r="DJT212" s="28"/>
      <c r="DJU212" s="28"/>
      <c r="DJV212" s="28"/>
      <c r="DJW212" s="28"/>
      <c r="DJX212" s="28"/>
      <c r="DJY212" s="28"/>
      <c r="DJZ212" s="28"/>
      <c r="DKA212" s="28"/>
      <c r="DKB212" s="28"/>
      <c r="DKC212" s="28"/>
      <c r="DKD212" s="28"/>
      <c r="DKE212" s="28"/>
      <c r="DKF212" s="28"/>
      <c r="DKG212" s="28"/>
      <c r="DKH212" s="28"/>
      <c r="DKI212" s="28"/>
      <c r="DKJ212" s="28"/>
      <c r="DKK212" s="28"/>
      <c r="DKL212" s="28"/>
      <c r="DKM212" s="28"/>
      <c r="DKN212" s="28"/>
      <c r="DKO212" s="28"/>
      <c r="DKP212" s="28"/>
      <c r="DKQ212" s="28"/>
      <c r="DKR212" s="28"/>
      <c r="DKS212" s="28"/>
      <c r="DKT212" s="28"/>
      <c r="DKU212" s="28"/>
      <c r="DKV212" s="28"/>
      <c r="DKW212" s="28"/>
      <c r="DKX212" s="28"/>
      <c r="DKY212" s="28"/>
      <c r="DKZ212" s="28"/>
      <c r="DLA212" s="28"/>
      <c r="DLB212" s="28"/>
      <c r="DLC212" s="28"/>
      <c r="DLD212" s="28"/>
      <c r="DLE212" s="28"/>
      <c r="DLF212" s="28"/>
      <c r="DLG212" s="28"/>
      <c r="DLH212" s="28"/>
      <c r="DLI212" s="28"/>
      <c r="DLJ212" s="28"/>
      <c r="DLK212" s="28"/>
      <c r="DLL212" s="28"/>
      <c r="DLM212" s="28"/>
      <c r="DLN212" s="28"/>
      <c r="DLO212" s="28"/>
      <c r="DLP212" s="28"/>
      <c r="DLQ212" s="28"/>
      <c r="DLR212" s="28"/>
      <c r="DLS212" s="28"/>
      <c r="DLT212" s="28"/>
      <c r="DLU212" s="28"/>
      <c r="DLV212" s="28"/>
      <c r="DLW212" s="28"/>
      <c r="DLX212" s="28"/>
      <c r="DLY212" s="28"/>
      <c r="DLZ212" s="28"/>
      <c r="DMA212" s="28"/>
      <c r="DMB212" s="28"/>
      <c r="DMC212" s="28"/>
      <c r="DMD212" s="28"/>
      <c r="DME212" s="28"/>
      <c r="DMF212" s="28"/>
      <c r="DMG212" s="28"/>
      <c r="DMH212" s="28"/>
      <c r="DMI212" s="28"/>
      <c r="DMJ212" s="28"/>
      <c r="DMK212" s="28"/>
      <c r="DML212" s="28"/>
      <c r="DMM212" s="28"/>
      <c r="DMN212" s="28"/>
      <c r="DMO212" s="28"/>
      <c r="DMP212" s="28"/>
      <c r="DMQ212" s="28"/>
      <c r="DMR212" s="28"/>
      <c r="DMS212" s="28"/>
      <c r="DMT212" s="28"/>
      <c r="DMU212" s="28"/>
      <c r="DMV212" s="28"/>
      <c r="DMW212" s="28"/>
      <c r="DMX212" s="28"/>
      <c r="DMY212" s="28"/>
      <c r="DMZ212" s="28"/>
      <c r="DNA212" s="28"/>
      <c r="DNB212" s="28"/>
      <c r="DNC212" s="28"/>
      <c r="DND212" s="28"/>
      <c r="DNE212" s="28"/>
      <c r="DNF212" s="28"/>
      <c r="DNG212" s="28"/>
      <c r="DNH212" s="28"/>
      <c r="DNI212" s="28"/>
      <c r="DNJ212" s="28"/>
      <c r="DNK212" s="28"/>
      <c r="DNL212" s="28"/>
      <c r="DNM212" s="28"/>
      <c r="DNN212" s="28"/>
      <c r="DNO212" s="28"/>
      <c r="DNP212" s="28"/>
      <c r="DNQ212" s="28"/>
      <c r="DNR212" s="28"/>
      <c r="DNS212" s="28"/>
      <c r="DNT212" s="28"/>
      <c r="DNU212" s="28"/>
      <c r="DNV212" s="28"/>
      <c r="DNW212" s="28"/>
      <c r="DNX212" s="28"/>
      <c r="DNY212" s="28"/>
      <c r="DNZ212" s="28"/>
      <c r="DOA212" s="28"/>
      <c r="DOB212" s="28"/>
      <c r="DOC212" s="28"/>
      <c r="DOD212" s="28"/>
      <c r="DOE212" s="28"/>
      <c r="DOF212" s="28"/>
      <c r="DOG212" s="28"/>
      <c r="DOH212" s="28"/>
      <c r="DOI212" s="28"/>
      <c r="DOJ212" s="28"/>
      <c r="DOK212" s="28"/>
      <c r="DOL212" s="28"/>
      <c r="DOM212" s="28"/>
      <c r="DON212" s="28"/>
      <c r="DOO212" s="28"/>
      <c r="DOP212" s="28"/>
      <c r="DOQ212" s="28"/>
      <c r="DOR212" s="28"/>
      <c r="DOS212" s="28"/>
      <c r="DOT212" s="28"/>
      <c r="DOU212" s="28"/>
      <c r="DOV212" s="28"/>
      <c r="DOW212" s="28"/>
      <c r="DOX212" s="28"/>
      <c r="DOY212" s="28"/>
      <c r="DOZ212" s="28"/>
      <c r="DPA212" s="28"/>
      <c r="DPB212" s="28"/>
      <c r="DPC212" s="28"/>
      <c r="DPD212" s="28"/>
      <c r="DPE212" s="28"/>
      <c r="DPF212" s="28"/>
      <c r="DPG212" s="28"/>
      <c r="DPH212" s="28"/>
      <c r="DPI212" s="28"/>
      <c r="DPJ212" s="28"/>
      <c r="DPK212" s="28"/>
      <c r="DPL212" s="28"/>
      <c r="DPM212" s="28"/>
      <c r="DPN212" s="28"/>
      <c r="DPO212" s="28"/>
      <c r="DPP212" s="28"/>
      <c r="DPQ212" s="28"/>
      <c r="DPR212" s="28"/>
      <c r="DPS212" s="28"/>
      <c r="DPT212" s="28"/>
      <c r="DPU212" s="28"/>
      <c r="DPV212" s="28"/>
      <c r="DPW212" s="28"/>
      <c r="DPX212" s="28"/>
      <c r="DPY212" s="28"/>
      <c r="DPZ212" s="28"/>
      <c r="DQA212" s="28"/>
      <c r="DQB212" s="28"/>
      <c r="DQC212" s="28"/>
      <c r="DQD212" s="28"/>
      <c r="DQE212" s="28"/>
      <c r="DQF212" s="28"/>
      <c r="DQG212" s="28"/>
      <c r="DQH212" s="28"/>
      <c r="DQI212" s="28"/>
      <c r="DQJ212" s="28"/>
      <c r="DQK212" s="28"/>
      <c r="DQL212" s="28"/>
      <c r="DQM212" s="28"/>
      <c r="DQN212" s="28"/>
      <c r="DQO212" s="28"/>
      <c r="DQP212" s="28"/>
      <c r="DQQ212" s="28"/>
      <c r="DQR212" s="28"/>
      <c r="DQS212" s="28"/>
      <c r="DQT212" s="28"/>
      <c r="DQU212" s="28"/>
      <c r="DQV212" s="28"/>
      <c r="DQW212" s="28"/>
      <c r="DQX212" s="28"/>
      <c r="DQY212" s="28"/>
      <c r="DQZ212" s="28"/>
      <c r="DRA212" s="28"/>
      <c r="DRB212" s="28"/>
      <c r="DRC212" s="28"/>
      <c r="DRD212" s="28"/>
      <c r="DRE212" s="28"/>
      <c r="DRF212" s="28"/>
      <c r="DRG212" s="28"/>
      <c r="DRH212" s="28"/>
      <c r="DRI212" s="28"/>
      <c r="DRJ212" s="28"/>
      <c r="DRK212" s="28"/>
      <c r="DRL212" s="28"/>
      <c r="DRM212" s="28"/>
      <c r="DRN212" s="28"/>
      <c r="DRO212" s="28"/>
      <c r="DRP212" s="28"/>
      <c r="DRQ212" s="28"/>
      <c r="DRR212" s="28"/>
      <c r="DRS212" s="28"/>
      <c r="DRT212" s="28"/>
      <c r="DRU212" s="28"/>
      <c r="DRV212" s="28"/>
      <c r="DRW212" s="28"/>
      <c r="DRX212" s="28"/>
      <c r="DRY212" s="28"/>
      <c r="DRZ212" s="28"/>
      <c r="DSA212" s="28"/>
      <c r="DSB212" s="28"/>
      <c r="DSC212" s="28"/>
      <c r="DSD212" s="28"/>
      <c r="DSE212" s="28"/>
      <c r="DSF212" s="28"/>
      <c r="DSG212" s="28"/>
      <c r="DSH212" s="28"/>
      <c r="DSI212" s="28"/>
      <c r="DSJ212" s="28"/>
      <c r="DSK212" s="28"/>
      <c r="DSL212" s="28"/>
      <c r="DSM212" s="28"/>
      <c r="DSN212" s="28"/>
      <c r="DSO212" s="28"/>
      <c r="DSP212" s="28"/>
      <c r="DSQ212" s="28"/>
      <c r="DSR212" s="28"/>
      <c r="DSS212" s="28"/>
      <c r="DST212" s="28"/>
      <c r="DSU212" s="28"/>
      <c r="DSV212" s="28"/>
      <c r="DSW212" s="28"/>
      <c r="DSX212" s="28"/>
      <c r="DSY212" s="28"/>
      <c r="DSZ212" s="28"/>
      <c r="DTA212" s="28"/>
      <c r="DTB212" s="28"/>
      <c r="DTC212" s="28"/>
      <c r="DTD212" s="28"/>
      <c r="DTE212" s="28"/>
      <c r="DTF212" s="28"/>
      <c r="DTG212" s="28"/>
      <c r="DTH212" s="28"/>
      <c r="DTI212" s="28"/>
      <c r="DTJ212" s="28"/>
      <c r="DTK212" s="28"/>
      <c r="DTL212" s="28"/>
      <c r="DTM212" s="28"/>
      <c r="DTN212" s="28"/>
      <c r="DTO212" s="28"/>
      <c r="DTP212" s="28"/>
      <c r="DTQ212" s="28"/>
      <c r="DTR212" s="28"/>
      <c r="DTS212" s="28"/>
      <c r="DTT212" s="28"/>
      <c r="DTU212" s="28"/>
      <c r="DTV212" s="28"/>
      <c r="DTW212" s="28"/>
      <c r="DTX212" s="28"/>
      <c r="DTY212" s="28"/>
      <c r="DTZ212" s="28"/>
      <c r="DUA212" s="28"/>
      <c r="DUB212" s="28"/>
      <c r="DUC212" s="28"/>
      <c r="DUD212" s="28"/>
      <c r="DUE212" s="28"/>
      <c r="DUF212" s="28"/>
      <c r="DUG212" s="28"/>
      <c r="DUH212" s="28"/>
      <c r="DUI212" s="28"/>
      <c r="DUJ212" s="28"/>
      <c r="DUK212" s="28"/>
      <c r="DUL212" s="28"/>
      <c r="DUM212" s="28"/>
      <c r="DUN212" s="28"/>
      <c r="DUO212" s="28"/>
      <c r="DUP212" s="28"/>
      <c r="DUQ212" s="28"/>
      <c r="DUR212" s="28"/>
      <c r="DUS212" s="28"/>
      <c r="DUT212" s="28"/>
      <c r="DUU212" s="28"/>
      <c r="DUV212" s="28"/>
      <c r="DUW212" s="28"/>
      <c r="DUX212" s="28"/>
      <c r="DUY212" s="28"/>
      <c r="DUZ212" s="28"/>
      <c r="DVA212" s="28"/>
      <c r="DVB212" s="28"/>
      <c r="DVC212" s="28"/>
      <c r="DVD212" s="28"/>
      <c r="DVE212" s="28"/>
      <c r="DVF212" s="28"/>
      <c r="DVG212" s="28"/>
      <c r="DVH212" s="28"/>
      <c r="DVI212" s="28"/>
      <c r="DVJ212" s="28"/>
      <c r="DVK212" s="28"/>
      <c r="DVL212" s="28"/>
      <c r="DVM212" s="28"/>
      <c r="DVN212" s="28"/>
      <c r="DVO212" s="28"/>
      <c r="DVP212" s="28"/>
      <c r="DVQ212" s="28"/>
      <c r="DVR212" s="28"/>
      <c r="DVS212" s="28"/>
      <c r="DVT212" s="28"/>
      <c r="DVU212" s="28"/>
      <c r="DVV212" s="28"/>
      <c r="DVW212" s="28"/>
      <c r="DVX212" s="28"/>
      <c r="DVY212" s="28"/>
      <c r="DVZ212" s="28"/>
      <c r="DWA212" s="28"/>
      <c r="DWB212" s="28"/>
      <c r="DWC212" s="28"/>
      <c r="DWD212" s="28"/>
      <c r="DWE212" s="28"/>
      <c r="DWF212" s="28"/>
      <c r="DWG212" s="28"/>
      <c r="DWH212" s="28"/>
      <c r="DWI212" s="28"/>
      <c r="DWJ212" s="28"/>
      <c r="DWK212" s="28"/>
      <c r="DWL212" s="28"/>
      <c r="DWM212" s="28"/>
      <c r="DWN212" s="28"/>
      <c r="DWO212" s="28"/>
      <c r="DWP212" s="28"/>
      <c r="DWQ212" s="28"/>
      <c r="DWR212" s="28"/>
      <c r="DWS212" s="28"/>
      <c r="DWT212" s="28"/>
      <c r="DWU212" s="28"/>
      <c r="DWV212" s="28"/>
      <c r="DWW212" s="28"/>
      <c r="DWX212" s="28"/>
      <c r="DWY212" s="28"/>
      <c r="DWZ212" s="28"/>
      <c r="DXA212" s="28"/>
      <c r="DXB212" s="28"/>
      <c r="DXC212" s="28"/>
      <c r="DXD212" s="28"/>
      <c r="DXE212" s="28"/>
      <c r="DXF212" s="28"/>
      <c r="DXG212" s="28"/>
      <c r="DXH212" s="28"/>
      <c r="DXI212" s="28"/>
      <c r="DXJ212" s="28"/>
      <c r="DXK212" s="28"/>
      <c r="DXL212" s="28"/>
      <c r="DXM212" s="28"/>
      <c r="DXN212" s="28"/>
      <c r="DXO212" s="28"/>
      <c r="DXP212" s="28"/>
      <c r="DXQ212" s="28"/>
      <c r="DXR212" s="28"/>
      <c r="DXS212" s="28"/>
      <c r="DXT212" s="28"/>
      <c r="DXU212" s="28"/>
      <c r="DXV212" s="28"/>
      <c r="DXW212" s="28"/>
      <c r="DXX212" s="28"/>
      <c r="DXY212" s="28"/>
      <c r="DXZ212" s="28"/>
      <c r="DYA212" s="28"/>
      <c r="DYB212" s="28"/>
      <c r="DYC212" s="28"/>
      <c r="DYD212" s="28"/>
      <c r="DYE212" s="28"/>
      <c r="DYF212" s="28"/>
      <c r="DYG212" s="28"/>
      <c r="DYH212" s="28"/>
      <c r="DYI212" s="28"/>
      <c r="DYJ212" s="28"/>
      <c r="DYK212" s="28"/>
      <c r="DYL212" s="28"/>
      <c r="DYM212" s="28"/>
      <c r="DYN212" s="28"/>
      <c r="DYO212" s="28"/>
      <c r="DYP212" s="28"/>
      <c r="DYQ212" s="28"/>
      <c r="DYR212" s="28"/>
      <c r="DYS212" s="28"/>
      <c r="DYT212" s="28"/>
      <c r="DYU212" s="28"/>
      <c r="DYV212" s="28"/>
      <c r="DYW212" s="28"/>
      <c r="DYX212" s="28"/>
      <c r="DYY212" s="28"/>
      <c r="DYZ212" s="28"/>
      <c r="DZA212" s="28"/>
      <c r="DZB212" s="28"/>
      <c r="DZC212" s="28"/>
      <c r="DZD212" s="28"/>
      <c r="DZE212" s="28"/>
      <c r="DZF212" s="28"/>
      <c r="DZG212" s="28"/>
      <c r="DZH212" s="28"/>
      <c r="DZI212" s="28"/>
      <c r="DZJ212" s="28"/>
      <c r="DZK212" s="28"/>
      <c r="DZL212" s="28"/>
      <c r="DZM212" s="28"/>
      <c r="DZN212" s="28"/>
      <c r="DZO212" s="28"/>
      <c r="DZP212" s="28"/>
      <c r="DZQ212" s="28"/>
      <c r="DZR212" s="28"/>
      <c r="DZS212" s="28"/>
      <c r="DZT212" s="28"/>
      <c r="DZU212" s="28"/>
      <c r="DZV212" s="28"/>
      <c r="DZW212" s="28"/>
      <c r="DZX212" s="28"/>
      <c r="DZY212" s="28"/>
      <c r="DZZ212" s="28"/>
      <c r="EAA212" s="28"/>
      <c r="EAB212" s="28"/>
      <c r="EAC212" s="28"/>
      <c r="EAD212" s="28"/>
      <c r="EAE212" s="28"/>
      <c r="EAF212" s="28"/>
      <c r="EAG212" s="28"/>
      <c r="EAH212" s="28"/>
      <c r="EAI212" s="28"/>
      <c r="EAJ212" s="28"/>
      <c r="EAK212" s="28"/>
      <c r="EAL212" s="28"/>
      <c r="EAM212" s="28"/>
      <c r="EAN212" s="28"/>
      <c r="EAO212" s="28"/>
      <c r="EAP212" s="28"/>
      <c r="EAQ212" s="28"/>
      <c r="EAR212" s="28"/>
      <c r="EAS212" s="28"/>
      <c r="EAT212" s="28"/>
      <c r="EAU212" s="28"/>
      <c r="EAV212" s="28"/>
      <c r="EAW212" s="28"/>
      <c r="EAX212" s="28"/>
      <c r="EAY212" s="28"/>
      <c r="EAZ212" s="28"/>
      <c r="EBA212" s="28"/>
      <c r="EBB212" s="28"/>
      <c r="EBC212" s="28"/>
      <c r="EBD212" s="28"/>
      <c r="EBE212" s="28"/>
      <c r="EBF212" s="28"/>
      <c r="EBG212" s="28"/>
      <c r="EBH212" s="28"/>
      <c r="EBI212" s="28"/>
      <c r="EBJ212" s="28"/>
      <c r="EBK212" s="28"/>
      <c r="EBL212" s="28"/>
      <c r="EBM212" s="28"/>
      <c r="EBN212" s="28"/>
      <c r="EBO212" s="28"/>
      <c r="EBP212" s="28"/>
      <c r="EBQ212" s="28"/>
      <c r="EBR212" s="28"/>
      <c r="EBS212" s="28"/>
      <c r="EBT212" s="28"/>
      <c r="EBU212" s="28"/>
      <c r="EBV212" s="28"/>
      <c r="EBW212" s="28"/>
      <c r="EBX212" s="28"/>
      <c r="EBY212" s="28"/>
      <c r="EBZ212" s="28"/>
      <c r="ECA212" s="28"/>
      <c r="ECB212" s="28"/>
      <c r="ECC212" s="28"/>
      <c r="ECD212" s="28"/>
      <c r="ECE212" s="28"/>
      <c r="ECF212" s="28"/>
      <c r="ECG212" s="28"/>
      <c r="ECH212" s="28"/>
      <c r="ECI212" s="28"/>
      <c r="ECJ212" s="28"/>
      <c r="ECK212" s="28"/>
      <c r="ECL212" s="28"/>
      <c r="ECM212" s="28"/>
      <c r="ECN212" s="28"/>
      <c r="ECO212" s="28"/>
      <c r="ECP212" s="28"/>
      <c r="ECQ212" s="28"/>
      <c r="ECR212" s="28"/>
      <c r="ECS212" s="28"/>
      <c r="ECT212" s="28"/>
      <c r="ECU212" s="28"/>
      <c r="ECV212" s="28"/>
      <c r="ECW212" s="28"/>
      <c r="ECX212" s="28"/>
      <c r="ECY212" s="28"/>
      <c r="ECZ212" s="28"/>
      <c r="EDA212" s="28"/>
      <c r="EDB212" s="28"/>
      <c r="EDC212" s="28"/>
      <c r="EDD212" s="28"/>
      <c r="EDE212" s="28"/>
      <c r="EDF212" s="28"/>
      <c r="EDG212" s="28"/>
      <c r="EDH212" s="28"/>
      <c r="EDI212" s="28"/>
      <c r="EDJ212" s="28"/>
      <c r="EDK212" s="28"/>
      <c r="EDL212" s="28"/>
      <c r="EDM212" s="28"/>
      <c r="EDN212" s="28"/>
      <c r="EDO212" s="28"/>
      <c r="EDP212" s="28"/>
      <c r="EDQ212" s="28"/>
      <c r="EDR212" s="28"/>
      <c r="EDS212" s="28"/>
      <c r="EDT212" s="28"/>
      <c r="EDU212" s="28"/>
      <c r="EDV212" s="28"/>
      <c r="EDW212" s="28"/>
      <c r="EDX212" s="28"/>
      <c r="EDY212" s="28"/>
      <c r="EDZ212" s="28"/>
      <c r="EEA212" s="28"/>
      <c r="EEB212" s="28"/>
      <c r="EEC212" s="28"/>
      <c r="EED212" s="28"/>
      <c r="EEE212" s="28"/>
      <c r="EEF212" s="28"/>
      <c r="EEG212" s="28"/>
      <c r="EEH212" s="28"/>
      <c r="EEI212" s="28"/>
      <c r="EEJ212" s="28"/>
      <c r="EEK212" s="28"/>
      <c r="EEL212" s="28"/>
      <c r="EEM212" s="28"/>
      <c r="EEN212" s="28"/>
      <c r="EEO212" s="28"/>
      <c r="EEP212" s="28"/>
      <c r="EEQ212" s="28"/>
      <c r="EER212" s="28"/>
      <c r="EES212" s="28"/>
      <c r="EET212" s="28"/>
      <c r="EEU212" s="28"/>
      <c r="EEV212" s="28"/>
      <c r="EEW212" s="28"/>
      <c r="EEX212" s="28"/>
      <c r="EEY212" s="28"/>
      <c r="EEZ212" s="28"/>
      <c r="EFA212" s="28"/>
      <c r="EFB212" s="28"/>
      <c r="EFC212" s="28"/>
      <c r="EFD212" s="28"/>
      <c r="EFE212" s="28"/>
      <c r="EFF212" s="28"/>
      <c r="EFG212" s="28"/>
      <c r="EFH212" s="28"/>
      <c r="EFI212" s="28"/>
      <c r="EFJ212" s="28"/>
      <c r="EFK212" s="28"/>
      <c r="EFL212" s="28"/>
      <c r="EFM212" s="28"/>
      <c r="EFN212" s="28"/>
      <c r="EFO212" s="28"/>
      <c r="EFP212" s="28"/>
      <c r="EFQ212" s="28"/>
      <c r="EFR212" s="28"/>
      <c r="EFS212" s="28"/>
      <c r="EFT212" s="28"/>
      <c r="EFU212" s="28"/>
      <c r="EFV212" s="28"/>
      <c r="EFW212" s="28"/>
      <c r="EFX212" s="28"/>
      <c r="EFY212" s="28"/>
      <c r="EFZ212" s="28"/>
      <c r="EGA212" s="28"/>
      <c r="EGB212" s="28"/>
      <c r="EGC212" s="28"/>
      <c r="EGD212" s="28"/>
      <c r="EGE212" s="28"/>
      <c r="EGF212" s="28"/>
      <c r="EGG212" s="28"/>
      <c r="EGH212" s="28"/>
      <c r="EGI212" s="28"/>
      <c r="EGJ212" s="28"/>
      <c r="EGK212" s="28"/>
      <c r="EGL212" s="28"/>
      <c r="EGM212" s="28"/>
      <c r="EGN212" s="28"/>
      <c r="EGO212" s="28"/>
      <c r="EGP212" s="28"/>
      <c r="EGQ212" s="28"/>
      <c r="EGR212" s="28"/>
      <c r="EGS212" s="28"/>
      <c r="EGT212" s="28"/>
      <c r="EGU212" s="28"/>
      <c r="EGV212" s="28"/>
      <c r="EGW212" s="28"/>
      <c r="EGX212" s="28"/>
      <c r="EGY212" s="28"/>
      <c r="EGZ212" s="28"/>
      <c r="EHA212" s="28"/>
      <c r="EHB212" s="28"/>
      <c r="EHC212" s="28"/>
      <c r="EHD212" s="28"/>
      <c r="EHE212" s="28"/>
      <c r="EHF212" s="28"/>
      <c r="EHG212" s="28"/>
      <c r="EHH212" s="28"/>
      <c r="EHI212" s="28"/>
      <c r="EHJ212" s="28"/>
      <c r="EHK212" s="28"/>
      <c r="EHL212" s="28"/>
      <c r="EHM212" s="28"/>
      <c r="EHN212" s="28"/>
      <c r="EHO212" s="28"/>
      <c r="EHP212" s="28"/>
      <c r="EHQ212" s="28"/>
      <c r="EHR212" s="28"/>
      <c r="EHS212" s="28"/>
      <c r="EHT212" s="28"/>
      <c r="EHU212" s="28"/>
      <c r="EHV212" s="28"/>
      <c r="EHW212" s="28"/>
      <c r="EHX212" s="28"/>
      <c r="EHY212" s="28"/>
      <c r="EHZ212" s="28"/>
      <c r="EIA212" s="28"/>
      <c r="EIB212" s="28"/>
      <c r="EIC212" s="28"/>
      <c r="EID212" s="28"/>
      <c r="EIE212" s="28"/>
      <c r="EIF212" s="28"/>
      <c r="EIG212" s="28"/>
      <c r="EIH212" s="28"/>
      <c r="EII212" s="28"/>
      <c r="EIJ212" s="28"/>
      <c r="EIK212" s="28"/>
      <c r="EIL212" s="28"/>
      <c r="EIM212" s="28"/>
      <c r="EIN212" s="28"/>
      <c r="EIO212" s="28"/>
      <c r="EIP212" s="28"/>
      <c r="EIQ212" s="28"/>
      <c r="EIR212" s="28"/>
      <c r="EIS212" s="28"/>
      <c r="EIT212" s="28"/>
      <c r="EIU212" s="28"/>
      <c r="EIV212" s="28"/>
      <c r="EIW212" s="28"/>
      <c r="EIX212" s="28"/>
      <c r="EIY212" s="28"/>
      <c r="EIZ212" s="28"/>
      <c r="EJA212" s="28"/>
      <c r="EJB212" s="28"/>
      <c r="EJC212" s="28"/>
      <c r="EJD212" s="28"/>
      <c r="EJE212" s="28"/>
      <c r="EJF212" s="28"/>
      <c r="EJG212" s="28"/>
      <c r="EJH212" s="28"/>
      <c r="EJI212" s="28"/>
      <c r="EJJ212" s="28"/>
      <c r="EJK212" s="28"/>
      <c r="EJL212" s="28"/>
      <c r="EJM212" s="28"/>
      <c r="EJN212" s="28"/>
      <c r="EJO212" s="28"/>
      <c r="EJP212" s="28"/>
      <c r="EJQ212" s="28"/>
      <c r="EJR212" s="28"/>
      <c r="EJS212" s="28"/>
      <c r="EJT212" s="28"/>
      <c r="EJU212" s="28"/>
      <c r="EJV212" s="28"/>
      <c r="EJW212" s="28"/>
      <c r="EJX212" s="28"/>
      <c r="EJY212" s="28"/>
      <c r="EJZ212" s="28"/>
      <c r="EKA212" s="28"/>
      <c r="EKB212" s="28"/>
      <c r="EKC212" s="28"/>
      <c r="EKD212" s="28"/>
      <c r="EKE212" s="28"/>
      <c r="EKF212" s="28"/>
      <c r="EKG212" s="28"/>
      <c r="EKH212" s="28"/>
      <c r="EKI212" s="28"/>
      <c r="EKJ212" s="28"/>
      <c r="EKK212" s="28"/>
      <c r="EKL212" s="28"/>
      <c r="EKM212" s="28"/>
      <c r="EKN212" s="28"/>
      <c r="EKO212" s="28"/>
      <c r="EKP212" s="28"/>
      <c r="EKQ212" s="28"/>
      <c r="EKR212" s="28"/>
      <c r="EKS212" s="28"/>
      <c r="EKT212" s="28"/>
      <c r="EKU212" s="28"/>
      <c r="EKV212" s="28"/>
      <c r="EKW212" s="28"/>
      <c r="EKX212" s="28"/>
      <c r="EKY212" s="28"/>
      <c r="EKZ212" s="28"/>
      <c r="ELA212" s="28"/>
      <c r="ELB212" s="28"/>
      <c r="ELC212" s="28"/>
      <c r="ELD212" s="28"/>
      <c r="ELE212" s="28"/>
      <c r="ELF212" s="28"/>
      <c r="ELG212" s="28"/>
      <c r="ELH212" s="28"/>
      <c r="ELI212" s="28"/>
      <c r="ELJ212" s="28"/>
      <c r="ELK212" s="28"/>
      <c r="ELL212" s="28"/>
      <c r="ELM212" s="28"/>
      <c r="ELN212" s="28"/>
      <c r="ELO212" s="28"/>
      <c r="ELP212" s="28"/>
      <c r="ELQ212" s="28"/>
      <c r="ELR212" s="28"/>
      <c r="ELS212" s="28"/>
      <c r="ELT212" s="28"/>
      <c r="ELU212" s="28"/>
      <c r="ELV212" s="28"/>
      <c r="ELW212" s="28"/>
      <c r="ELX212" s="28"/>
      <c r="ELY212" s="28"/>
      <c r="ELZ212" s="28"/>
      <c r="EMA212" s="28"/>
      <c r="EMB212" s="28"/>
      <c r="EMC212" s="28"/>
      <c r="EMD212" s="28"/>
      <c r="EME212" s="28"/>
      <c r="EMF212" s="28"/>
      <c r="EMG212" s="28"/>
      <c r="EMH212" s="28"/>
      <c r="EMI212" s="28"/>
      <c r="EMJ212" s="28"/>
      <c r="EMK212" s="28"/>
      <c r="EML212" s="28"/>
      <c r="EMM212" s="28"/>
      <c r="EMN212" s="28"/>
      <c r="EMO212" s="28"/>
      <c r="EMP212" s="28"/>
      <c r="EMQ212" s="28"/>
      <c r="EMR212" s="28"/>
      <c r="EMS212" s="28"/>
      <c r="EMT212" s="28"/>
      <c r="EMU212" s="28"/>
      <c r="EMV212" s="28"/>
      <c r="EMW212" s="28"/>
      <c r="EMX212" s="28"/>
      <c r="EMY212" s="28"/>
      <c r="EMZ212" s="28"/>
      <c r="ENA212" s="28"/>
      <c r="ENB212" s="28"/>
      <c r="ENC212" s="28"/>
      <c r="END212" s="28"/>
      <c r="ENE212" s="28"/>
      <c r="ENF212" s="28"/>
      <c r="ENG212" s="28"/>
      <c r="ENH212" s="28"/>
      <c r="ENI212" s="28"/>
      <c r="ENJ212" s="28"/>
      <c r="ENK212" s="28"/>
      <c r="ENL212" s="28"/>
      <c r="ENM212" s="28"/>
      <c r="ENN212" s="28"/>
      <c r="ENO212" s="28"/>
      <c r="ENP212" s="28"/>
      <c r="ENQ212" s="28"/>
      <c r="ENR212" s="28"/>
      <c r="ENS212" s="28"/>
      <c r="ENT212" s="28"/>
      <c r="ENU212" s="28"/>
      <c r="ENV212" s="28"/>
      <c r="ENW212" s="28"/>
      <c r="ENX212" s="28"/>
      <c r="ENY212" s="28"/>
      <c r="ENZ212" s="28"/>
      <c r="EOA212" s="28"/>
      <c r="EOB212" s="28"/>
      <c r="EOC212" s="28"/>
      <c r="EOD212" s="28"/>
      <c r="EOE212" s="28"/>
      <c r="EOF212" s="28"/>
      <c r="EOG212" s="28"/>
      <c r="EOH212" s="28"/>
      <c r="EOI212" s="28"/>
      <c r="EOJ212" s="28"/>
      <c r="EOK212" s="28"/>
      <c r="EOL212" s="28"/>
      <c r="EOM212" s="28"/>
      <c r="EON212" s="28"/>
      <c r="EOO212" s="28"/>
      <c r="EOP212" s="28"/>
      <c r="EOQ212" s="28"/>
      <c r="EOR212" s="28"/>
      <c r="EOS212" s="28"/>
      <c r="EOT212" s="28"/>
      <c r="EOU212" s="28"/>
      <c r="EOV212" s="28"/>
      <c r="EOW212" s="28"/>
      <c r="EOX212" s="28"/>
      <c r="EOY212" s="28"/>
      <c r="EOZ212" s="28"/>
      <c r="EPA212" s="28"/>
      <c r="EPB212" s="28"/>
      <c r="EPC212" s="28"/>
      <c r="EPD212" s="28"/>
      <c r="EPE212" s="28"/>
      <c r="EPF212" s="28"/>
      <c r="EPG212" s="28"/>
      <c r="EPH212" s="28"/>
      <c r="EPI212" s="28"/>
      <c r="EPJ212" s="28"/>
      <c r="EPK212" s="28"/>
      <c r="EPL212" s="28"/>
      <c r="EPM212" s="28"/>
      <c r="EPN212" s="28"/>
      <c r="EPO212" s="28"/>
      <c r="EPP212" s="28"/>
      <c r="EPQ212" s="28"/>
      <c r="EPR212" s="28"/>
      <c r="EPS212" s="28"/>
      <c r="EPT212" s="28"/>
      <c r="EPU212" s="28"/>
      <c r="EPV212" s="28"/>
      <c r="EPW212" s="28"/>
      <c r="EPX212" s="28"/>
      <c r="EPY212" s="28"/>
      <c r="EPZ212" s="28"/>
      <c r="EQA212" s="28"/>
      <c r="EQB212" s="28"/>
      <c r="EQC212" s="28"/>
      <c r="EQD212" s="28"/>
      <c r="EQE212" s="28"/>
      <c r="EQF212" s="28"/>
      <c r="EQG212" s="28"/>
      <c r="EQH212" s="28"/>
      <c r="EQI212" s="28"/>
      <c r="EQJ212" s="28"/>
      <c r="EQK212" s="28"/>
      <c r="EQL212" s="28"/>
      <c r="EQM212" s="28"/>
      <c r="EQN212" s="28"/>
      <c r="EQO212" s="28"/>
      <c r="EQP212" s="28"/>
      <c r="EQQ212" s="28"/>
      <c r="EQR212" s="28"/>
      <c r="EQS212" s="28"/>
      <c r="EQT212" s="28"/>
      <c r="EQU212" s="28"/>
      <c r="EQV212" s="28"/>
      <c r="EQW212" s="28"/>
      <c r="EQX212" s="28"/>
      <c r="EQY212" s="28"/>
      <c r="EQZ212" s="28"/>
      <c r="ERA212" s="28"/>
      <c r="ERB212" s="28"/>
      <c r="ERC212" s="28"/>
      <c r="ERD212" s="28"/>
      <c r="ERE212" s="28"/>
      <c r="ERF212" s="28"/>
      <c r="ERG212" s="28"/>
      <c r="ERH212" s="28"/>
      <c r="ERI212" s="28"/>
      <c r="ERJ212" s="28"/>
      <c r="ERK212" s="28"/>
      <c r="ERL212" s="28"/>
      <c r="ERM212" s="28"/>
      <c r="ERN212" s="28"/>
      <c r="ERO212" s="28"/>
      <c r="ERP212" s="28"/>
      <c r="ERQ212" s="28"/>
      <c r="ERR212" s="28"/>
      <c r="ERS212" s="28"/>
      <c r="ERT212" s="28"/>
      <c r="ERU212" s="28"/>
      <c r="ERV212" s="28"/>
      <c r="ERW212" s="28"/>
      <c r="ERX212" s="28"/>
      <c r="ERY212" s="28"/>
      <c r="ERZ212" s="28"/>
      <c r="ESA212" s="28"/>
      <c r="ESB212" s="28"/>
      <c r="ESC212" s="28"/>
      <c r="ESD212" s="28"/>
      <c r="ESE212" s="28"/>
      <c r="ESF212" s="28"/>
      <c r="ESG212" s="28"/>
      <c r="ESH212" s="28"/>
      <c r="ESI212" s="28"/>
      <c r="ESJ212" s="28"/>
      <c r="ESK212" s="28"/>
      <c r="ESL212" s="28"/>
      <c r="ESM212" s="28"/>
      <c r="ESN212" s="28"/>
      <c r="ESO212" s="28"/>
      <c r="ESP212" s="28"/>
      <c r="ESQ212" s="28"/>
      <c r="ESR212" s="28"/>
      <c r="ESS212" s="28"/>
      <c r="EST212" s="28"/>
      <c r="ESU212" s="28"/>
      <c r="ESV212" s="28"/>
      <c r="ESW212" s="28"/>
      <c r="ESX212" s="28"/>
      <c r="ESY212" s="28"/>
      <c r="ESZ212" s="28"/>
      <c r="ETA212" s="28"/>
      <c r="ETB212" s="28"/>
      <c r="ETC212" s="28"/>
      <c r="ETD212" s="28"/>
      <c r="ETE212" s="28"/>
      <c r="ETF212" s="28"/>
      <c r="ETG212" s="28"/>
      <c r="ETH212" s="28"/>
      <c r="ETI212" s="28"/>
      <c r="ETJ212" s="28"/>
      <c r="ETK212" s="28"/>
      <c r="ETL212" s="28"/>
      <c r="ETM212" s="28"/>
      <c r="ETN212" s="28"/>
      <c r="ETO212" s="28"/>
      <c r="ETP212" s="28"/>
      <c r="ETQ212" s="28"/>
      <c r="ETR212" s="28"/>
      <c r="ETS212" s="28"/>
      <c r="ETT212" s="28"/>
      <c r="ETU212" s="28"/>
      <c r="ETV212" s="28"/>
      <c r="ETW212" s="28"/>
      <c r="ETX212" s="28"/>
      <c r="ETY212" s="28"/>
      <c r="ETZ212" s="28"/>
      <c r="EUA212" s="28"/>
      <c r="EUB212" s="28"/>
      <c r="EUC212" s="28"/>
      <c r="EUD212" s="28"/>
      <c r="EUE212" s="28"/>
      <c r="EUF212" s="28"/>
      <c r="EUG212" s="28"/>
      <c r="EUH212" s="28"/>
      <c r="EUI212" s="28"/>
      <c r="EUJ212" s="28"/>
      <c r="EUK212" s="28"/>
      <c r="EUL212" s="28"/>
      <c r="EUM212" s="28"/>
      <c r="EUN212" s="28"/>
      <c r="EUO212" s="28"/>
      <c r="EUP212" s="28"/>
      <c r="EUQ212" s="28"/>
      <c r="EUR212" s="28"/>
      <c r="EUS212" s="28"/>
      <c r="EUT212" s="28"/>
      <c r="EUU212" s="28"/>
      <c r="EUV212" s="28"/>
      <c r="EUW212" s="28"/>
      <c r="EUX212" s="28"/>
      <c r="EUY212" s="28"/>
      <c r="EUZ212" s="28"/>
      <c r="EVA212" s="28"/>
      <c r="EVB212" s="28"/>
      <c r="EVC212" s="28"/>
      <c r="EVD212" s="28"/>
      <c r="EVE212" s="28"/>
      <c r="EVF212" s="28"/>
      <c r="EVG212" s="28"/>
      <c r="EVH212" s="28"/>
      <c r="EVI212" s="28"/>
      <c r="EVJ212" s="28"/>
      <c r="EVK212" s="28"/>
      <c r="EVL212" s="28"/>
      <c r="EVM212" s="28"/>
      <c r="EVN212" s="28"/>
      <c r="EVO212" s="28"/>
      <c r="EVP212" s="28"/>
      <c r="EVQ212" s="28"/>
      <c r="EVR212" s="28"/>
      <c r="EVS212" s="28"/>
      <c r="EVT212" s="28"/>
      <c r="EVU212" s="28"/>
      <c r="EVV212" s="28"/>
      <c r="EVW212" s="28"/>
      <c r="EVX212" s="28"/>
      <c r="EVY212" s="28"/>
      <c r="EVZ212" s="28"/>
      <c r="EWA212" s="28"/>
      <c r="EWB212" s="28"/>
      <c r="EWC212" s="28"/>
      <c r="EWD212" s="28"/>
      <c r="EWE212" s="28"/>
      <c r="EWF212" s="28"/>
      <c r="EWG212" s="28"/>
      <c r="EWH212" s="28"/>
      <c r="EWI212" s="28"/>
      <c r="EWJ212" s="28"/>
      <c r="EWK212" s="28"/>
      <c r="EWL212" s="28"/>
      <c r="EWM212" s="28"/>
      <c r="EWN212" s="28"/>
      <c r="EWO212" s="28"/>
      <c r="EWP212" s="28"/>
      <c r="EWQ212" s="28"/>
      <c r="EWR212" s="28"/>
      <c r="EWS212" s="28"/>
      <c r="EWT212" s="28"/>
      <c r="EWU212" s="28"/>
      <c r="EWV212" s="28"/>
      <c r="EWW212" s="28"/>
      <c r="EWX212" s="28"/>
      <c r="EWY212" s="28"/>
      <c r="EWZ212" s="28"/>
      <c r="EXA212" s="28"/>
      <c r="EXB212" s="28"/>
      <c r="EXC212" s="28"/>
      <c r="EXD212" s="28"/>
      <c r="EXE212" s="28"/>
      <c r="EXF212" s="28"/>
      <c r="EXG212" s="28"/>
      <c r="EXH212" s="28"/>
      <c r="EXI212" s="28"/>
      <c r="EXJ212" s="28"/>
      <c r="EXK212" s="28"/>
      <c r="EXL212" s="28"/>
      <c r="EXM212" s="28"/>
      <c r="EXN212" s="28"/>
      <c r="EXO212" s="28"/>
      <c r="EXP212" s="28"/>
      <c r="EXQ212" s="28"/>
      <c r="EXR212" s="28"/>
      <c r="EXS212" s="28"/>
      <c r="EXT212" s="28"/>
      <c r="EXU212" s="28"/>
      <c r="EXV212" s="28"/>
      <c r="EXW212" s="28"/>
      <c r="EXX212" s="28"/>
      <c r="EXY212" s="28"/>
      <c r="EXZ212" s="28"/>
      <c r="EYA212" s="28"/>
      <c r="EYB212" s="28"/>
      <c r="EYC212" s="28"/>
      <c r="EYD212" s="28"/>
      <c r="EYE212" s="28"/>
      <c r="EYF212" s="28"/>
      <c r="EYG212" s="28"/>
      <c r="EYH212" s="28"/>
      <c r="EYI212" s="28"/>
      <c r="EYJ212" s="28"/>
      <c r="EYK212" s="28"/>
      <c r="EYL212" s="28"/>
      <c r="EYM212" s="28"/>
      <c r="EYN212" s="28"/>
      <c r="EYO212" s="28"/>
      <c r="EYP212" s="28"/>
      <c r="EYQ212" s="28"/>
      <c r="EYR212" s="28"/>
      <c r="EYS212" s="28"/>
      <c r="EYT212" s="28"/>
      <c r="EYU212" s="28"/>
      <c r="EYV212" s="28"/>
      <c r="EYW212" s="28"/>
      <c r="EYX212" s="28"/>
      <c r="EYY212" s="28"/>
      <c r="EYZ212" s="28"/>
      <c r="EZA212" s="28"/>
      <c r="EZB212" s="28"/>
      <c r="EZC212" s="28"/>
      <c r="EZD212" s="28"/>
      <c r="EZE212" s="28"/>
      <c r="EZF212" s="28"/>
      <c r="EZG212" s="28"/>
      <c r="EZH212" s="28"/>
      <c r="EZI212" s="28"/>
      <c r="EZJ212" s="28"/>
      <c r="EZK212" s="28"/>
      <c r="EZL212" s="28"/>
      <c r="EZM212" s="28"/>
      <c r="EZN212" s="28"/>
      <c r="EZO212" s="28"/>
      <c r="EZP212" s="28"/>
      <c r="EZQ212" s="28"/>
      <c r="EZR212" s="28"/>
      <c r="EZS212" s="28"/>
      <c r="EZT212" s="28"/>
      <c r="EZU212" s="28"/>
      <c r="EZV212" s="28"/>
      <c r="EZW212" s="28"/>
      <c r="EZX212" s="28"/>
      <c r="EZY212" s="28"/>
      <c r="EZZ212" s="28"/>
      <c r="FAA212" s="28"/>
      <c r="FAB212" s="28"/>
      <c r="FAC212" s="28"/>
      <c r="FAD212" s="28"/>
      <c r="FAE212" s="28"/>
      <c r="FAF212" s="28"/>
      <c r="FAG212" s="28"/>
      <c r="FAH212" s="28"/>
      <c r="FAI212" s="28"/>
      <c r="FAJ212" s="28"/>
      <c r="FAK212" s="28"/>
      <c r="FAL212" s="28"/>
      <c r="FAM212" s="28"/>
      <c r="FAN212" s="28"/>
      <c r="FAO212" s="28"/>
      <c r="FAP212" s="28"/>
      <c r="FAQ212" s="28"/>
      <c r="FAR212" s="28"/>
      <c r="FAS212" s="28"/>
      <c r="FAT212" s="28"/>
      <c r="FAU212" s="28"/>
      <c r="FAV212" s="28"/>
      <c r="FAW212" s="28"/>
      <c r="FAX212" s="28"/>
      <c r="FAY212" s="28"/>
      <c r="FAZ212" s="28"/>
      <c r="FBA212" s="28"/>
      <c r="FBB212" s="28"/>
      <c r="FBC212" s="28"/>
      <c r="FBD212" s="28"/>
      <c r="FBE212" s="28"/>
      <c r="FBF212" s="28"/>
      <c r="FBG212" s="28"/>
      <c r="FBH212" s="28"/>
      <c r="FBI212" s="28"/>
      <c r="FBJ212" s="28"/>
      <c r="FBK212" s="28"/>
      <c r="FBL212" s="28"/>
      <c r="FBM212" s="28"/>
      <c r="FBN212" s="28"/>
      <c r="FBO212" s="28"/>
      <c r="FBP212" s="28"/>
      <c r="FBQ212" s="28"/>
      <c r="FBR212" s="28"/>
      <c r="FBS212" s="28"/>
      <c r="FBT212" s="28"/>
      <c r="FBU212" s="28"/>
      <c r="FBV212" s="28"/>
      <c r="FBW212" s="28"/>
      <c r="FBX212" s="28"/>
      <c r="FBY212" s="28"/>
      <c r="FBZ212" s="28"/>
      <c r="FCA212" s="28"/>
      <c r="FCB212" s="28"/>
      <c r="FCC212" s="28"/>
      <c r="FCD212" s="28"/>
      <c r="FCE212" s="28"/>
      <c r="FCF212" s="28"/>
      <c r="FCG212" s="28"/>
      <c r="FCH212" s="28"/>
      <c r="FCI212" s="28"/>
      <c r="FCJ212" s="28"/>
      <c r="FCK212" s="28"/>
      <c r="FCL212" s="28"/>
      <c r="FCM212" s="28"/>
      <c r="FCN212" s="28"/>
      <c r="FCO212" s="28"/>
      <c r="FCP212" s="28"/>
      <c r="FCQ212" s="28"/>
      <c r="FCR212" s="28"/>
      <c r="FCS212" s="28"/>
      <c r="FCT212" s="28"/>
      <c r="FCU212" s="28"/>
      <c r="FCV212" s="28"/>
      <c r="FCW212" s="28"/>
      <c r="FCX212" s="28"/>
      <c r="FCY212" s="28"/>
      <c r="FCZ212" s="28"/>
      <c r="FDA212" s="28"/>
      <c r="FDB212" s="28"/>
      <c r="FDC212" s="28"/>
      <c r="FDD212" s="28"/>
      <c r="FDE212" s="28"/>
      <c r="FDF212" s="28"/>
      <c r="FDG212" s="28"/>
      <c r="FDH212" s="28"/>
      <c r="FDI212" s="28"/>
      <c r="FDJ212" s="28"/>
      <c r="FDK212" s="28"/>
      <c r="FDL212" s="28"/>
      <c r="FDM212" s="28"/>
      <c r="FDN212" s="28"/>
      <c r="FDO212" s="28"/>
      <c r="FDP212" s="28"/>
      <c r="FDQ212" s="28"/>
      <c r="FDR212" s="28"/>
      <c r="FDS212" s="28"/>
      <c r="FDT212" s="28"/>
      <c r="FDU212" s="28"/>
      <c r="FDV212" s="28"/>
      <c r="FDW212" s="28"/>
      <c r="FDX212" s="28"/>
      <c r="FDY212" s="28"/>
      <c r="FDZ212" s="28"/>
      <c r="FEA212" s="28"/>
      <c r="FEB212" s="28"/>
      <c r="FEC212" s="28"/>
      <c r="FED212" s="28"/>
      <c r="FEE212" s="28"/>
      <c r="FEF212" s="28"/>
      <c r="FEG212" s="28"/>
      <c r="FEH212" s="28"/>
      <c r="FEI212" s="28"/>
      <c r="FEJ212" s="28"/>
      <c r="FEK212" s="28"/>
      <c r="FEL212" s="28"/>
      <c r="FEM212" s="28"/>
      <c r="FEN212" s="28"/>
      <c r="FEO212" s="28"/>
      <c r="FEP212" s="28"/>
      <c r="FEQ212" s="28"/>
      <c r="FER212" s="28"/>
      <c r="FES212" s="28"/>
      <c r="FET212" s="28"/>
      <c r="FEU212" s="28"/>
      <c r="FEV212" s="28"/>
      <c r="FEW212" s="28"/>
      <c r="FEX212" s="28"/>
      <c r="FEY212" s="28"/>
      <c r="FEZ212" s="28"/>
      <c r="FFA212" s="28"/>
      <c r="FFB212" s="28"/>
      <c r="FFC212" s="28"/>
      <c r="FFD212" s="28"/>
      <c r="FFE212" s="28"/>
      <c r="FFF212" s="28"/>
      <c r="FFG212" s="28"/>
      <c r="FFH212" s="28"/>
      <c r="FFI212" s="28"/>
      <c r="FFJ212" s="28"/>
      <c r="FFK212" s="28"/>
      <c r="FFL212" s="28"/>
      <c r="FFM212" s="28"/>
      <c r="FFN212" s="28"/>
      <c r="FFO212" s="28"/>
      <c r="FFP212" s="28"/>
      <c r="FFQ212" s="28"/>
      <c r="FFR212" s="28"/>
      <c r="FFS212" s="28"/>
      <c r="FFT212" s="28"/>
      <c r="FFU212" s="28"/>
      <c r="FFV212" s="28"/>
      <c r="FFW212" s="28"/>
      <c r="FFX212" s="28"/>
      <c r="FFY212" s="28"/>
      <c r="FFZ212" s="28"/>
      <c r="FGA212" s="28"/>
      <c r="FGB212" s="28"/>
      <c r="FGC212" s="28"/>
      <c r="FGD212" s="28"/>
      <c r="FGE212" s="28"/>
      <c r="FGF212" s="28"/>
      <c r="FGG212" s="28"/>
      <c r="FGH212" s="28"/>
      <c r="FGI212" s="28"/>
      <c r="FGJ212" s="28"/>
      <c r="FGK212" s="28"/>
      <c r="FGL212" s="28"/>
      <c r="FGM212" s="28"/>
      <c r="FGN212" s="28"/>
      <c r="FGO212" s="28"/>
      <c r="FGP212" s="28"/>
      <c r="FGQ212" s="28"/>
      <c r="FGR212" s="28"/>
      <c r="FGS212" s="28"/>
      <c r="FGT212" s="28"/>
      <c r="FGU212" s="28"/>
      <c r="FGV212" s="28"/>
      <c r="FGW212" s="28"/>
      <c r="FGX212" s="28"/>
      <c r="FGY212" s="28"/>
      <c r="FGZ212" s="28"/>
      <c r="FHA212" s="28"/>
      <c r="FHB212" s="28"/>
      <c r="FHC212" s="28"/>
      <c r="FHD212" s="28"/>
      <c r="FHE212" s="28"/>
      <c r="FHF212" s="28"/>
      <c r="FHG212" s="28"/>
      <c r="FHH212" s="28"/>
      <c r="FHI212" s="28"/>
      <c r="FHJ212" s="28"/>
      <c r="FHK212" s="28"/>
      <c r="FHL212" s="28"/>
      <c r="FHM212" s="28"/>
      <c r="FHN212" s="28"/>
      <c r="FHO212" s="28"/>
      <c r="FHP212" s="28"/>
      <c r="FHQ212" s="28"/>
      <c r="FHR212" s="28"/>
      <c r="FHS212" s="28"/>
      <c r="FHT212" s="28"/>
      <c r="FHU212" s="28"/>
      <c r="FHV212" s="28"/>
      <c r="FHW212" s="28"/>
      <c r="FHX212" s="28"/>
      <c r="FHY212" s="28"/>
      <c r="FHZ212" s="28"/>
      <c r="FIA212" s="28"/>
      <c r="FIB212" s="28"/>
      <c r="FIC212" s="28"/>
      <c r="FID212" s="28"/>
      <c r="FIE212" s="28"/>
      <c r="FIF212" s="28"/>
      <c r="FIG212" s="28"/>
      <c r="FIH212" s="28"/>
      <c r="FII212" s="28"/>
      <c r="FIJ212" s="28"/>
      <c r="FIK212" s="28"/>
      <c r="FIL212" s="28"/>
      <c r="FIM212" s="28"/>
      <c r="FIN212" s="28"/>
      <c r="FIO212" s="28"/>
      <c r="FIP212" s="28"/>
      <c r="FIQ212" s="28"/>
      <c r="FIR212" s="28"/>
      <c r="FIS212" s="28"/>
      <c r="FIT212" s="28"/>
      <c r="FIU212" s="28"/>
      <c r="FIV212" s="28"/>
      <c r="FIW212" s="28"/>
      <c r="FIX212" s="28"/>
      <c r="FIY212" s="28"/>
      <c r="FIZ212" s="28"/>
      <c r="FJA212" s="28"/>
      <c r="FJB212" s="28"/>
      <c r="FJC212" s="28"/>
      <c r="FJD212" s="28"/>
      <c r="FJE212" s="28"/>
      <c r="FJF212" s="28"/>
      <c r="FJG212" s="28"/>
      <c r="FJH212" s="28"/>
      <c r="FJI212" s="28"/>
      <c r="FJJ212" s="28"/>
      <c r="FJK212" s="28"/>
      <c r="FJL212" s="28"/>
      <c r="FJM212" s="28"/>
      <c r="FJN212" s="28"/>
      <c r="FJO212" s="28"/>
      <c r="FJP212" s="28"/>
      <c r="FJQ212" s="28"/>
      <c r="FJR212" s="28"/>
      <c r="FJS212" s="28"/>
      <c r="FJT212" s="28"/>
      <c r="FJU212" s="28"/>
      <c r="FJV212" s="28"/>
      <c r="FJW212" s="28"/>
      <c r="FJX212" s="28"/>
      <c r="FJY212" s="28"/>
      <c r="FJZ212" s="28"/>
      <c r="FKA212" s="28"/>
      <c r="FKB212" s="28"/>
      <c r="FKC212" s="28"/>
      <c r="FKD212" s="28"/>
      <c r="FKE212" s="28"/>
      <c r="FKF212" s="28"/>
      <c r="FKG212" s="28"/>
      <c r="FKH212" s="28"/>
      <c r="FKI212" s="28"/>
      <c r="FKJ212" s="28"/>
      <c r="FKK212" s="28"/>
      <c r="FKL212" s="28"/>
      <c r="FKM212" s="28"/>
      <c r="FKN212" s="28"/>
      <c r="FKO212" s="28"/>
      <c r="FKP212" s="28"/>
      <c r="FKQ212" s="28"/>
      <c r="FKR212" s="28"/>
      <c r="FKS212" s="28"/>
      <c r="FKT212" s="28"/>
      <c r="FKU212" s="28"/>
      <c r="FKV212" s="28"/>
      <c r="FKW212" s="28"/>
      <c r="FKX212" s="28"/>
      <c r="FKY212" s="28"/>
      <c r="FKZ212" s="28"/>
      <c r="FLA212" s="28"/>
      <c r="FLB212" s="28"/>
      <c r="FLC212" s="28"/>
      <c r="FLD212" s="28"/>
      <c r="FLE212" s="28"/>
      <c r="FLF212" s="28"/>
      <c r="FLG212" s="28"/>
      <c r="FLH212" s="28"/>
      <c r="FLI212" s="28"/>
      <c r="FLJ212" s="28"/>
      <c r="FLK212" s="28"/>
      <c r="FLL212" s="28"/>
      <c r="FLM212" s="28"/>
      <c r="FLN212" s="28"/>
      <c r="FLO212" s="28"/>
      <c r="FLP212" s="28"/>
      <c r="FLQ212" s="28"/>
      <c r="FLR212" s="28"/>
      <c r="FLS212" s="28"/>
      <c r="FLT212" s="28"/>
      <c r="FLU212" s="28"/>
      <c r="FLV212" s="28"/>
      <c r="FLW212" s="28"/>
      <c r="FLX212" s="28"/>
      <c r="FLY212" s="28"/>
      <c r="FLZ212" s="28"/>
      <c r="FMA212" s="28"/>
      <c r="FMB212" s="28"/>
      <c r="FMC212" s="28"/>
      <c r="FMD212" s="28"/>
      <c r="FME212" s="28"/>
      <c r="FMF212" s="28"/>
      <c r="FMG212" s="28"/>
      <c r="FMH212" s="28"/>
      <c r="FMI212" s="28"/>
      <c r="FMJ212" s="28"/>
      <c r="FMK212" s="28"/>
      <c r="FML212" s="28"/>
      <c r="FMM212" s="28"/>
      <c r="FMN212" s="28"/>
      <c r="FMO212" s="28"/>
      <c r="FMP212" s="28"/>
      <c r="FMQ212" s="28"/>
      <c r="FMR212" s="28"/>
      <c r="FMS212" s="28"/>
      <c r="FMT212" s="28"/>
      <c r="FMU212" s="28"/>
      <c r="FMV212" s="28"/>
      <c r="FMW212" s="28"/>
      <c r="FMX212" s="28"/>
      <c r="FMY212" s="28"/>
      <c r="FMZ212" s="28"/>
      <c r="FNA212" s="28"/>
      <c r="FNB212" s="28"/>
      <c r="FNC212" s="28"/>
      <c r="FND212" s="28"/>
      <c r="FNE212" s="28"/>
      <c r="FNF212" s="28"/>
      <c r="FNG212" s="28"/>
      <c r="FNH212" s="28"/>
      <c r="FNI212" s="28"/>
      <c r="FNJ212" s="28"/>
      <c r="FNK212" s="28"/>
      <c r="FNL212" s="28"/>
      <c r="FNM212" s="28"/>
      <c r="FNN212" s="28"/>
      <c r="FNO212" s="28"/>
      <c r="FNP212" s="28"/>
      <c r="FNQ212" s="28"/>
      <c r="FNR212" s="28"/>
      <c r="FNS212" s="28"/>
      <c r="FNT212" s="28"/>
      <c r="FNU212" s="28"/>
      <c r="FNV212" s="28"/>
      <c r="FNW212" s="28"/>
      <c r="FNX212" s="28"/>
      <c r="FNY212" s="28"/>
      <c r="FNZ212" s="28"/>
      <c r="FOA212" s="28"/>
      <c r="FOB212" s="28"/>
      <c r="FOC212" s="28"/>
      <c r="FOD212" s="28"/>
      <c r="FOE212" s="28"/>
      <c r="FOF212" s="28"/>
      <c r="FOG212" s="28"/>
      <c r="FOH212" s="28"/>
      <c r="FOI212" s="28"/>
      <c r="FOJ212" s="28"/>
      <c r="FOK212" s="28"/>
      <c r="FOL212" s="28"/>
      <c r="FOM212" s="28"/>
      <c r="FON212" s="28"/>
      <c r="FOO212" s="28"/>
      <c r="FOP212" s="28"/>
      <c r="FOQ212" s="28"/>
      <c r="FOR212" s="28"/>
      <c r="FOS212" s="28"/>
      <c r="FOT212" s="28"/>
      <c r="FOU212" s="28"/>
      <c r="FOV212" s="28"/>
      <c r="FOW212" s="28"/>
      <c r="FOX212" s="28"/>
      <c r="FOY212" s="28"/>
      <c r="FOZ212" s="28"/>
      <c r="FPA212" s="28"/>
      <c r="FPB212" s="28"/>
      <c r="FPC212" s="28"/>
      <c r="FPD212" s="28"/>
      <c r="FPE212" s="28"/>
      <c r="FPF212" s="28"/>
      <c r="FPG212" s="28"/>
      <c r="FPH212" s="28"/>
      <c r="FPI212" s="28"/>
      <c r="FPJ212" s="28"/>
      <c r="FPK212" s="28"/>
      <c r="FPL212" s="28"/>
      <c r="FPM212" s="28"/>
      <c r="FPN212" s="28"/>
      <c r="FPO212" s="28"/>
      <c r="FPP212" s="28"/>
      <c r="FPQ212" s="28"/>
      <c r="FPR212" s="28"/>
      <c r="FPS212" s="28"/>
      <c r="FPT212" s="28"/>
      <c r="FPU212" s="28"/>
      <c r="FPV212" s="28"/>
      <c r="FPW212" s="28"/>
      <c r="FPX212" s="28"/>
      <c r="FPY212" s="28"/>
      <c r="FPZ212" s="28"/>
      <c r="FQA212" s="28"/>
      <c r="FQB212" s="28"/>
      <c r="FQC212" s="28"/>
      <c r="FQD212" s="28"/>
      <c r="FQE212" s="28"/>
      <c r="FQF212" s="28"/>
      <c r="FQG212" s="28"/>
      <c r="FQH212" s="28"/>
      <c r="FQI212" s="28"/>
      <c r="FQJ212" s="28"/>
      <c r="FQK212" s="28"/>
      <c r="FQL212" s="28"/>
      <c r="FQM212" s="28"/>
      <c r="FQN212" s="28"/>
      <c r="FQO212" s="28"/>
      <c r="FQP212" s="28"/>
      <c r="FQQ212" s="28"/>
      <c r="FQR212" s="28"/>
      <c r="FQS212" s="28"/>
      <c r="FQT212" s="28"/>
      <c r="FQU212" s="28"/>
      <c r="FQV212" s="28"/>
      <c r="FQW212" s="28"/>
      <c r="FQX212" s="28"/>
      <c r="FQY212" s="28"/>
      <c r="FQZ212" s="28"/>
      <c r="FRA212" s="28"/>
      <c r="FRB212" s="28"/>
      <c r="FRC212" s="28"/>
      <c r="FRD212" s="28"/>
      <c r="FRE212" s="28"/>
      <c r="FRF212" s="28"/>
      <c r="FRG212" s="28"/>
      <c r="FRH212" s="28"/>
      <c r="FRI212" s="28"/>
      <c r="FRJ212" s="28"/>
      <c r="FRK212" s="28"/>
      <c r="FRL212" s="28"/>
      <c r="FRM212" s="28"/>
      <c r="FRN212" s="28"/>
      <c r="FRO212" s="28"/>
      <c r="FRP212" s="28"/>
      <c r="FRQ212" s="28"/>
      <c r="FRR212" s="28"/>
      <c r="FRS212" s="28"/>
      <c r="FRT212" s="28"/>
      <c r="FRU212" s="28"/>
      <c r="FRV212" s="28"/>
      <c r="FRW212" s="28"/>
      <c r="FRX212" s="28"/>
      <c r="FRY212" s="28"/>
      <c r="FRZ212" s="28"/>
      <c r="FSA212" s="28"/>
      <c r="FSB212" s="28"/>
      <c r="FSC212" s="28"/>
      <c r="FSD212" s="28"/>
      <c r="FSE212" s="28"/>
      <c r="FSF212" s="28"/>
      <c r="FSG212" s="28"/>
      <c r="FSH212" s="28"/>
      <c r="FSI212" s="28"/>
      <c r="FSJ212" s="28"/>
      <c r="FSK212" s="28"/>
      <c r="FSL212" s="28"/>
      <c r="FSM212" s="28"/>
      <c r="FSN212" s="28"/>
      <c r="FSO212" s="28"/>
      <c r="FSP212" s="28"/>
      <c r="FSQ212" s="28"/>
      <c r="FSR212" s="28"/>
      <c r="FSS212" s="28"/>
      <c r="FST212" s="28"/>
      <c r="FSU212" s="28"/>
      <c r="FSV212" s="28"/>
      <c r="FSW212" s="28"/>
      <c r="FSX212" s="28"/>
      <c r="FSY212" s="28"/>
      <c r="FSZ212" s="28"/>
      <c r="FTA212" s="28"/>
      <c r="FTB212" s="28"/>
      <c r="FTC212" s="28"/>
      <c r="FTD212" s="28"/>
      <c r="FTE212" s="28"/>
      <c r="FTF212" s="28"/>
      <c r="FTG212" s="28"/>
      <c r="FTH212" s="28"/>
      <c r="FTI212" s="28"/>
      <c r="FTJ212" s="28"/>
      <c r="FTK212" s="28"/>
      <c r="FTL212" s="28"/>
      <c r="FTM212" s="28"/>
      <c r="FTN212" s="28"/>
      <c r="FTO212" s="28"/>
      <c r="FTP212" s="28"/>
      <c r="FTQ212" s="28"/>
      <c r="FTR212" s="28"/>
      <c r="FTS212" s="28"/>
      <c r="FTT212" s="28"/>
      <c r="FTU212" s="28"/>
      <c r="FTV212" s="28"/>
      <c r="FTW212" s="28"/>
      <c r="FTX212" s="28"/>
      <c r="FTY212" s="28"/>
      <c r="FTZ212" s="28"/>
      <c r="FUA212" s="28"/>
      <c r="FUB212" s="28"/>
      <c r="FUC212" s="28"/>
      <c r="FUD212" s="28"/>
      <c r="FUE212" s="28"/>
      <c r="FUF212" s="28"/>
      <c r="FUG212" s="28"/>
      <c r="FUH212" s="28"/>
      <c r="FUI212" s="28"/>
      <c r="FUJ212" s="28"/>
      <c r="FUK212" s="28"/>
      <c r="FUL212" s="28"/>
      <c r="FUM212" s="28"/>
      <c r="FUN212" s="28"/>
      <c r="FUO212" s="28"/>
      <c r="FUP212" s="28"/>
      <c r="FUQ212" s="28"/>
      <c r="FUR212" s="28"/>
      <c r="FUS212" s="28"/>
      <c r="FUT212" s="28"/>
      <c r="FUU212" s="28"/>
      <c r="FUV212" s="28"/>
      <c r="FUW212" s="28"/>
      <c r="FUX212" s="28"/>
      <c r="FUY212" s="28"/>
      <c r="FUZ212" s="28"/>
      <c r="FVA212" s="28"/>
      <c r="FVB212" s="28"/>
      <c r="FVC212" s="28"/>
      <c r="FVD212" s="28"/>
      <c r="FVE212" s="28"/>
      <c r="FVF212" s="28"/>
      <c r="FVG212" s="28"/>
      <c r="FVH212" s="28"/>
      <c r="FVI212" s="28"/>
      <c r="FVJ212" s="28"/>
      <c r="FVK212" s="28"/>
      <c r="FVL212" s="28"/>
      <c r="FVM212" s="28"/>
      <c r="FVN212" s="28"/>
      <c r="FVO212" s="28"/>
      <c r="FVP212" s="28"/>
      <c r="FVQ212" s="28"/>
      <c r="FVR212" s="28"/>
      <c r="FVS212" s="28"/>
      <c r="FVT212" s="28"/>
      <c r="FVU212" s="28"/>
      <c r="FVV212" s="28"/>
      <c r="FVW212" s="28"/>
      <c r="FVX212" s="28"/>
      <c r="FVY212" s="28"/>
      <c r="FVZ212" s="28"/>
      <c r="FWA212" s="28"/>
      <c r="FWB212" s="28"/>
      <c r="FWC212" s="28"/>
      <c r="FWD212" s="28"/>
      <c r="FWE212" s="28"/>
      <c r="FWF212" s="28"/>
      <c r="FWG212" s="28"/>
      <c r="FWH212" s="28"/>
      <c r="FWI212" s="28"/>
      <c r="FWJ212" s="28"/>
      <c r="FWK212" s="28"/>
      <c r="FWL212" s="28"/>
      <c r="FWM212" s="28"/>
      <c r="FWN212" s="28"/>
      <c r="FWO212" s="28"/>
      <c r="FWP212" s="28"/>
      <c r="FWQ212" s="28"/>
      <c r="FWR212" s="28"/>
      <c r="FWS212" s="28"/>
      <c r="FWT212" s="28"/>
      <c r="FWU212" s="28"/>
      <c r="FWV212" s="28"/>
      <c r="FWW212" s="28"/>
      <c r="FWX212" s="28"/>
      <c r="FWY212" s="28"/>
      <c r="FWZ212" s="28"/>
      <c r="FXA212" s="28"/>
      <c r="FXB212" s="28"/>
      <c r="FXC212" s="28"/>
      <c r="FXD212" s="28"/>
      <c r="FXE212" s="28"/>
      <c r="FXF212" s="28"/>
      <c r="FXG212" s="28"/>
      <c r="FXH212" s="28"/>
      <c r="FXI212" s="28"/>
      <c r="FXJ212" s="28"/>
      <c r="FXK212" s="28"/>
      <c r="FXL212" s="28"/>
      <c r="FXM212" s="28"/>
      <c r="FXN212" s="28"/>
      <c r="FXO212" s="28"/>
      <c r="FXP212" s="28"/>
      <c r="FXQ212" s="28"/>
      <c r="FXR212" s="28"/>
      <c r="FXS212" s="28"/>
      <c r="FXT212" s="28"/>
      <c r="FXU212" s="28"/>
      <c r="FXV212" s="28"/>
      <c r="FXW212" s="28"/>
      <c r="FXX212" s="28"/>
      <c r="FXY212" s="28"/>
      <c r="FXZ212" s="28"/>
      <c r="FYA212" s="28"/>
      <c r="FYB212" s="28"/>
      <c r="FYC212" s="28"/>
      <c r="FYD212" s="28"/>
      <c r="FYE212" s="28"/>
      <c r="FYF212" s="28"/>
      <c r="FYG212" s="28"/>
      <c r="FYH212" s="28"/>
      <c r="FYI212" s="28"/>
      <c r="FYJ212" s="28"/>
      <c r="FYK212" s="28"/>
      <c r="FYL212" s="28"/>
      <c r="FYM212" s="28"/>
      <c r="FYN212" s="28"/>
      <c r="FYO212" s="28"/>
      <c r="FYP212" s="28"/>
      <c r="FYQ212" s="28"/>
      <c r="FYR212" s="28"/>
      <c r="FYS212" s="28"/>
      <c r="FYT212" s="28"/>
      <c r="FYU212" s="28"/>
      <c r="FYV212" s="28"/>
      <c r="FYW212" s="28"/>
      <c r="FYX212" s="28"/>
      <c r="FYY212" s="28"/>
      <c r="FYZ212" s="28"/>
      <c r="FZA212" s="28"/>
      <c r="FZB212" s="28"/>
      <c r="FZC212" s="28"/>
      <c r="FZD212" s="28"/>
      <c r="FZE212" s="28"/>
      <c r="FZF212" s="28"/>
      <c r="FZG212" s="28"/>
      <c r="FZH212" s="28"/>
      <c r="FZI212" s="28"/>
      <c r="FZJ212" s="28"/>
      <c r="FZK212" s="28"/>
      <c r="FZL212" s="28"/>
      <c r="FZM212" s="28"/>
      <c r="FZN212" s="28"/>
      <c r="FZO212" s="28"/>
      <c r="FZP212" s="28"/>
      <c r="FZQ212" s="28"/>
      <c r="FZR212" s="28"/>
      <c r="FZS212" s="28"/>
      <c r="FZT212" s="28"/>
      <c r="FZU212" s="28"/>
      <c r="FZV212" s="28"/>
      <c r="FZW212" s="28"/>
      <c r="FZX212" s="28"/>
      <c r="FZY212" s="28"/>
      <c r="FZZ212" s="28"/>
      <c r="GAA212" s="28"/>
      <c r="GAB212" s="28"/>
      <c r="GAC212" s="28"/>
      <c r="GAD212" s="28"/>
      <c r="GAE212" s="28"/>
      <c r="GAF212" s="28"/>
      <c r="GAG212" s="28"/>
      <c r="GAH212" s="28"/>
      <c r="GAI212" s="28"/>
      <c r="GAJ212" s="28"/>
      <c r="GAK212" s="28"/>
      <c r="GAL212" s="28"/>
      <c r="GAM212" s="28"/>
      <c r="GAN212" s="28"/>
      <c r="GAO212" s="28"/>
      <c r="GAP212" s="28"/>
      <c r="GAQ212" s="28"/>
      <c r="GAR212" s="28"/>
      <c r="GAS212" s="28"/>
      <c r="GAT212" s="28"/>
      <c r="GAU212" s="28"/>
      <c r="GAV212" s="28"/>
      <c r="GAW212" s="28"/>
      <c r="GAX212" s="28"/>
      <c r="GAY212" s="28"/>
      <c r="GAZ212" s="28"/>
      <c r="GBA212" s="28"/>
      <c r="GBB212" s="28"/>
      <c r="GBC212" s="28"/>
      <c r="GBD212" s="28"/>
      <c r="GBE212" s="28"/>
      <c r="GBF212" s="28"/>
      <c r="GBG212" s="28"/>
      <c r="GBH212" s="28"/>
      <c r="GBI212" s="28"/>
      <c r="GBJ212" s="28"/>
      <c r="GBK212" s="28"/>
      <c r="GBL212" s="28"/>
      <c r="GBM212" s="28"/>
      <c r="GBN212" s="28"/>
      <c r="GBO212" s="28"/>
      <c r="GBP212" s="28"/>
      <c r="GBQ212" s="28"/>
      <c r="GBR212" s="28"/>
      <c r="GBS212" s="28"/>
      <c r="GBT212" s="28"/>
      <c r="GBU212" s="28"/>
      <c r="GBV212" s="28"/>
      <c r="GBW212" s="28"/>
      <c r="GBX212" s="28"/>
      <c r="GBY212" s="28"/>
      <c r="GBZ212" s="28"/>
      <c r="GCA212" s="28"/>
      <c r="GCB212" s="28"/>
      <c r="GCC212" s="28"/>
      <c r="GCD212" s="28"/>
      <c r="GCE212" s="28"/>
      <c r="GCF212" s="28"/>
      <c r="GCG212" s="28"/>
      <c r="GCH212" s="28"/>
      <c r="GCI212" s="28"/>
      <c r="GCJ212" s="28"/>
      <c r="GCK212" s="28"/>
      <c r="GCL212" s="28"/>
      <c r="GCM212" s="28"/>
      <c r="GCN212" s="28"/>
      <c r="GCO212" s="28"/>
      <c r="GCP212" s="28"/>
      <c r="GCQ212" s="28"/>
      <c r="GCR212" s="28"/>
      <c r="GCS212" s="28"/>
      <c r="GCT212" s="28"/>
      <c r="GCU212" s="28"/>
      <c r="GCV212" s="28"/>
      <c r="GCW212" s="28"/>
      <c r="GCX212" s="28"/>
      <c r="GCY212" s="28"/>
      <c r="GCZ212" s="28"/>
      <c r="GDA212" s="28"/>
      <c r="GDB212" s="28"/>
      <c r="GDC212" s="28"/>
      <c r="GDD212" s="28"/>
      <c r="GDE212" s="28"/>
      <c r="GDF212" s="28"/>
      <c r="GDG212" s="28"/>
      <c r="GDH212" s="28"/>
      <c r="GDI212" s="28"/>
      <c r="GDJ212" s="28"/>
      <c r="GDK212" s="28"/>
      <c r="GDL212" s="28"/>
      <c r="GDM212" s="28"/>
      <c r="GDN212" s="28"/>
      <c r="GDO212" s="28"/>
      <c r="GDP212" s="28"/>
      <c r="GDQ212" s="28"/>
      <c r="GDR212" s="28"/>
      <c r="GDS212" s="28"/>
      <c r="GDT212" s="28"/>
      <c r="GDU212" s="28"/>
      <c r="GDV212" s="28"/>
      <c r="GDW212" s="28"/>
      <c r="GDX212" s="28"/>
      <c r="GDY212" s="28"/>
      <c r="GDZ212" s="28"/>
      <c r="GEA212" s="28"/>
      <c r="GEB212" s="28"/>
      <c r="GEC212" s="28"/>
      <c r="GED212" s="28"/>
      <c r="GEE212" s="28"/>
      <c r="GEF212" s="28"/>
      <c r="GEG212" s="28"/>
      <c r="GEH212" s="28"/>
      <c r="GEI212" s="28"/>
      <c r="GEJ212" s="28"/>
      <c r="GEK212" s="28"/>
      <c r="GEL212" s="28"/>
      <c r="GEM212" s="28"/>
      <c r="GEN212" s="28"/>
      <c r="GEO212" s="28"/>
      <c r="GEP212" s="28"/>
      <c r="GEQ212" s="28"/>
      <c r="GER212" s="28"/>
      <c r="GES212" s="28"/>
      <c r="GET212" s="28"/>
      <c r="GEU212" s="28"/>
      <c r="GEV212" s="28"/>
      <c r="GEW212" s="28"/>
      <c r="GEX212" s="28"/>
      <c r="GEY212" s="28"/>
      <c r="GEZ212" s="28"/>
      <c r="GFA212" s="28"/>
      <c r="GFB212" s="28"/>
      <c r="GFC212" s="28"/>
      <c r="GFD212" s="28"/>
      <c r="GFE212" s="28"/>
      <c r="GFF212" s="28"/>
      <c r="GFG212" s="28"/>
      <c r="GFH212" s="28"/>
      <c r="GFI212" s="28"/>
      <c r="GFJ212" s="28"/>
      <c r="GFK212" s="28"/>
      <c r="GFL212" s="28"/>
      <c r="GFM212" s="28"/>
      <c r="GFN212" s="28"/>
      <c r="GFO212" s="28"/>
      <c r="GFP212" s="28"/>
      <c r="GFQ212" s="28"/>
      <c r="GFR212" s="28"/>
      <c r="GFS212" s="28"/>
      <c r="GFT212" s="28"/>
      <c r="GFU212" s="28"/>
      <c r="GFV212" s="28"/>
      <c r="GFW212" s="28"/>
      <c r="GFX212" s="28"/>
      <c r="GFY212" s="28"/>
      <c r="GFZ212" s="28"/>
      <c r="GGA212" s="28"/>
      <c r="GGB212" s="28"/>
      <c r="GGC212" s="28"/>
      <c r="GGD212" s="28"/>
      <c r="GGE212" s="28"/>
      <c r="GGF212" s="28"/>
      <c r="GGG212" s="28"/>
      <c r="GGH212" s="28"/>
      <c r="GGI212" s="28"/>
      <c r="GGJ212" s="28"/>
      <c r="GGK212" s="28"/>
      <c r="GGL212" s="28"/>
      <c r="GGM212" s="28"/>
      <c r="GGN212" s="28"/>
      <c r="GGO212" s="28"/>
      <c r="GGP212" s="28"/>
      <c r="GGQ212" s="28"/>
      <c r="GGR212" s="28"/>
      <c r="GGS212" s="28"/>
      <c r="GGT212" s="28"/>
      <c r="GGU212" s="28"/>
      <c r="GGV212" s="28"/>
      <c r="GGW212" s="28"/>
      <c r="GGX212" s="28"/>
      <c r="GGY212" s="28"/>
      <c r="GGZ212" s="28"/>
      <c r="GHA212" s="28"/>
      <c r="GHB212" s="28"/>
      <c r="GHC212" s="28"/>
      <c r="GHD212" s="28"/>
      <c r="GHE212" s="28"/>
      <c r="GHF212" s="28"/>
      <c r="GHG212" s="28"/>
      <c r="GHH212" s="28"/>
      <c r="GHI212" s="28"/>
      <c r="GHJ212" s="28"/>
      <c r="GHK212" s="28"/>
      <c r="GHL212" s="28"/>
      <c r="GHM212" s="28"/>
      <c r="GHN212" s="28"/>
      <c r="GHO212" s="28"/>
      <c r="GHP212" s="28"/>
      <c r="GHQ212" s="28"/>
      <c r="GHR212" s="28"/>
      <c r="GHS212" s="28"/>
      <c r="GHT212" s="28"/>
      <c r="GHU212" s="28"/>
      <c r="GHV212" s="28"/>
      <c r="GHW212" s="28"/>
      <c r="GHX212" s="28"/>
      <c r="GHY212" s="28"/>
      <c r="GHZ212" s="28"/>
      <c r="GIA212" s="28"/>
      <c r="GIB212" s="28"/>
      <c r="GIC212" s="28"/>
      <c r="GID212" s="28"/>
      <c r="GIE212" s="28"/>
      <c r="GIF212" s="28"/>
      <c r="GIG212" s="28"/>
      <c r="GIH212" s="28"/>
      <c r="GII212" s="28"/>
      <c r="GIJ212" s="28"/>
      <c r="GIK212" s="28"/>
      <c r="GIL212" s="28"/>
      <c r="GIM212" s="28"/>
      <c r="GIN212" s="28"/>
      <c r="GIO212" s="28"/>
      <c r="GIP212" s="28"/>
      <c r="GIQ212" s="28"/>
      <c r="GIR212" s="28"/>
      <c r="GIS212" s="28"/>
      <c r="GIT212" s="28"/>
      <c r="GIU212" s="28"/>
      <c r="GIV212" s="28"/>
      <c r="GIW212" s="28"/>
      <c r="GIX212" s="28"/>
      <c r="GIY212" s="28"/>
      <c r="GIZ212" s="28"/>
      <c r="GJA212" s="28"/>
      <c r="GJB212" s="28"/>
      <c r="GJC212" s="28"/>
      <c r="GJD212" s="28"/>
      <c r="GJE212" s="28"/>
      <c r="GJF212" s="28"/>
      <c r="GJG212" s="28"/>
      <c r="GJH212" s="28"/>
      <c r="GJI212" s="28"/>
      <c r="GJJ212" s="28"/>
      <c r="GJK212" s="28"/>
      <c r="GJL212" s="28"/>
      <c r="GJM212" s="28"/>
      <c r="GJN212" s="28"/>
      <c r="GJO212" s="28"/>
      <c r="GJP212" s="28"/>
      <c r="GJQ212" s="28"/>
      <c r="GJR212" s="28"/>
      <c r="GJS212" s="28"/>
      <c r="GJT212" s="28"/>
      <c r="GJU212" s="28"/>
      <c r="GJV212" s="28"/>
      <c r="GJW212" s="28"/>
      <c r="GJX212" s="28"/>
      <c r="GJY212" s="28"/>
      <c r="GJZ212" s="28"/>
      <c r="GKA212" s="28"/>
      <c r="GKB212" s="28"/>
      <c r="GKC212" s="28"/>
      <c r="GKD212" s="28"/>
      <c r="GKE212" s="28"/>
      <c r="GKF212" s="28"/>
      <c r="GKG212" s="28"/>
      <c r="GKH212" s="28"/>
      <c r="GKI212" s="28"/>
      <c r="GKJ212" s="28"/>
      <c r="GKK212" s="28"/>
      <c r="GKL212" s="28"/>
      <c r="GKM212" s="28"/>
      <c r="GKN212" s="28"/>
      <c r="GKO212" s="28"/>
      <c r="GKP212" s="28"/>
      <c r="GKQ212" s="28"/>
      <c r="GKR212" s="28"/>
      <c r="GKS212" s="28"/>
      <c r="GKT212" s="28"/>
      <c r="GKU212" s="28"/>
      <c r="GKV212" s="28"/>
      <c r="GKW212" s="28"/>
      <c r="GKX212" s="28"/>
      <c r="GKY212" s="28"/>
      <c r="GKZ212" s="28"/>
      <c r="GLA212" s="28"/>
      <c r="GLB212" s="28"/>
      <c r="GLC212" s="28"/>
      <c r="GLD212" s="28"/>
      <c r="GLE212" s="28"/>
      <c r="GLF212" s="28"/>
      <c r="GLG212" s="28"/>
      <c r="GLH212" s="28"/>
      <c r="GLI212" s="28"/>
      <c r="GLJ212" s="28"/>
      <c r="GLK212" s="28"/>
    </row>
    <row r="213" spans="1:5055" s="38" customFormat="1">
      <c r="A213" s="78">
        <v>210</v>
      </c>
      <c r="B213" s="77" t="s">
        <v>174</v>
      </c>
      <c r="C213" s="33" t="s">
        <v>284</v>
      </c>
      <c r="D213" s="31" t="s">
        <v>178</v>
      </c>
      <c r="E213" s="7">
        <v>46216</v>
      </c>
      <c r="F213" s="11" t="s">
        <v>368</v>
      </c>
      <c r="G213" s="11" t="s">
        <v>367</v>
      </c>
      <c r="H213" s="4" t="s">
        <v>0</v>
      </c>
      <c r="I213" s="5">
        <v>4758</v>
      </c>
      <c r="J213" s="6" t="s">
        <v>70</v>
      </c>
      <c r="K213" s="2">
        <v>8000</v>
      </c>
      <c r="L213" s="2">
        <f t="shared" ref="L213" si="334">+K213*0.975</f>
        <v>7800</v>
      </c>
      <c r="M213" s="12">
        <f t="shared" ref="M213" si="335">+L213-K213</f>
        <v>-200</v>
      </c>
      <c r="N213" s="21">
        <f t="shared" ref="N213" si="336">+L213/K213</f>
        <v>0.97499999999999998</v>
      </c>
      <c r="O213" s="8">
        <f>+E213+P213+1+3</f>
        <v>46240.830729492147</v>
      </c>
      <c r="P213" s="25">
        <f t="shared" ref="P213" si="337">+L213/Q213</f>
        <v>20.830729492146816</v>
      </c>
      <c r="Q213" s="51">
        <f t="shared" ref="Q213" si="338">630*40/60*0.975*0.9144</f>
        <v>374.4468</v>
      </c>
      <c r="R213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  <c r="FS213" s="28"/>
      <c r="FT213" s="28"/>
      <c r="FU213" s="28"/>
      <c r="FV213" s="28"/>
      <c r="FW213" s="28"/>
      <c r="FX213" s="28"/>
      <c r="FY213" s="28"/>
      <c r="FZ213" s="28"/>
      <c r="GA213" s="28"/>
      <c r="GB213" s="28"/>
      <c r="GC213" s="28"/>
      <c r="GD213" s="28"/>
      <c r="GE213" s="28"/>
      <c r="GF213" s="28"/>
      <c r="GG213" s="28"/>
      <c r="GH213" s="28"/>
      <c r="GI213" s="28"/>
      <c r="GJ213" s="28"/>
      <c r="GK213" s="28"/>
      <c r="GL213" s="28"/>
      <c r="GM213" s="28"/>
      <c r="GN213" s="28"/>
      <c r="GO213" s="28"/>
      <c r="GP213" s="28"/>
      <c r="GQ213" s="28"/>
      <c r="GR213" s="28"/>
      <c r="GS213" s="28"/>
      <c r="GT213" s="28"/>
      <c r="GU213" s="28"/>
      <c r="GV213" s="28"/>
      <c r="GW213" s="28"/>
      <c r="GX213" s="28"/>
      <c r="GY213" s="28"/>
      <c r="GZ213" s="28"/>
      <c r="HA213" s="28"/>
      <c r="HB213" s="28"/>
      <c r="HC213" s="28"/>
      <c r="HD213" s="28"/>
      <c r="HE213" s="28"/>
      <c r="HF213" s="28"/>
      <c r="HG213" s="28"/>
      <c r="HH213" s="28"/>
      <c r="HI213" s="28"/>
      <c r="HJ213" s="28"/>
      <c r="HK213" s="28"/>
      <c r="HL213" s="28"/>
      <c r="HM213" s="28"/>
      <c r="HN213" s="28"/>
      <c r="HO213" s="28"/>
      <c r="HP213" s="28"/>
      <c r="HQ213" s="28"/>
      <c r="HR213" s="28"/>
      <c r="HS213" s="28"/>
      <c r="HT213" s="28"/>
      <c r="HU213" s="28"/>
      <c r="HV213" s="28"/>
      <c r="HW213" s="28"/>
      <c r="HX213" s="28"/>
      <c r="HY213" s="28"/>
      <c r="HZ213" s="28"/>
      <c r="IA213" s="28"/>
      <c r="IB213" s="28"/>
      <c r="IC213" s="28"/>
      <c r="ID213" s="28"/>
      <c r="IE213" s="28"/>
      <c r="IF213" s="28"/>
      <c r="IG213" s="28"/>
      <c r="IH213" s="28"/>
      <c r="II213" s="28"/>
      <c r="IJ213" s="28"/>
      <c r="IK213" s="28"/>
      <c r="IL213" s="28"/>
      <c r="IM213" s="28"/>
      <c r="IN213" s="28"/>
      <c r="IO213" s="28"/>
      <c r="IP213" s="28"/>
      <c r="IQ213" s="28"/>
      <c r="IR213" s="28"/>
      <c r="IS213" s="28"/>
      <c r="IT213" s="28"/>
      <c r="IU213" s="28"/>
      <c r="IV213" s="28"/>
      <c r="IW213" s="28"/>
      <c r="IX213" s="28"/>
      <c r="IY213" s="28"/>
      <c r="IZ213" s="28"/>
      <c r="JA213" s="28"/>
      <c r="JB213" s="28"/>
      <c r="JC213" s="28"/>
      <c r="JD213" s="28"/>
      <c r="JE213" s="28"/>
      <c r="JF213" s="28"/>
      <c r="JG213" s="28"/>
      <c r="JH213" s="28"/>
      <c r="JI213" s="28"/>
      <c r="JJ213" s="28"/>
      <c r="JK213" s="28"/>
      <c r="JL213" s="28"/>
      <c r="JM213" s="28"/>
      <c r="JN213" s="28"/>
      <c r="JO213" s="28"/>
      <c r="JP213" s="28"/>
      <c r="JQ213" s="28"/>
      <c r="JR213" s="28"/>
      <c r="JS213" s="28"/>
      <c r="JT213" s="28"/>
      <c r="JU213" s="28"/>
      <c r="JV213" s="28"/>
      <c r="JW213" s="28"/>
      <c r="JX213" s="28"/>
      <c r="JY213" s="28"/>
      <c r="JZ213" s="28"/>
      <c r="KA213" s="28"/>
      <c r="KB213" s="28"/>
      <c r="KC213" s="28"/>
      <c r="KD213" s="28"/>
      <c r="KE213" s="28"/>
      <c r="KF213" s="28"/>
      <c r="KG213" s="28"/>
      <c r="KH213" s="28"/>
      <c r="KI213" s="28"/>
      <c r="KJ213" s="28"/>
      <c r="KK213" s="28"/>
      <c r="KL213" s="28"/>
      <c r="KM213" s="28"/>
      <c r="KN213" s="28"/>
      <c r="KO213" s="28"/>
      <c r="KP213" s="28"/>
      <c r="KQ213" s="28"/>
      <c r="KR213" s="28"/>
      <c r="KS213" s="28"/>
      <c r="KT213" s="28"/>
      <c r="KU213" s="28"/>
      <c r="KV213" s="28"/>
      <c r="KW213" s="28"/>
      <c r="KX213" s="28"/>
      <c r="KY213" s="28"/>
      <c r="KZ213" s="28"/>
      <c r="LA213" s="28"/>
      <c r="LB213" s="28"/>
      <c r="LC213" s="28"/>
      <c r="LD213" s="28"/>
      <c r="LE213" s="28"/>
      <c r="LF213" s="28"/>
      <c r="LG213" s="28"/>
      <c r="LH213" s="28"/>
      <c r="LI213" s="28"/>
      <c r="LJ213" s="28"/>
      <c r="LK213" s="28"/>
      <c r="LL213" s="28"/>
      <c r="LM213" s="28"/>
      <c r="LN213" s="28"/>
      <c r="LO213" s="28"/>
      <c r="LP213" s="28"/>
      <c r="LQ213" s="28"/>
      <c r="LR213" s="28"/>
      <c r="LS213" s="28"/>
      <c r="LT213" s="28"/>
      <c r="LU213" s="28"/>
      <c r="LV213" s="28"/>
      <c r="LW213" s="28"/>
      <c r="LX213" s="28"/>
      <c r="LY213" s="28"/>
      <c r="LZ213" s="28"/>
      <c r="MA213" s="28"/>
      <c r="MB213" s="28"/>
      <c r="MC213" s="28"/>
      <c r="MD213" s="28"/>
      <c r="ME213" s="28"/>
      <c r="MF213" s="28"/>
      <c r="MG213" s="28"/>
      <c r="MH213" s="28"/>
      <c r="MI213" s="28"/>
      <c r="MJ213" s="28"/>
      <c r="MK213" s="28"/>
      <c r="ML213" s="28"/>
      <c r="MM213" s="28"/>
      <c r="MN213" s="28"/>
      <c r="MO213" s="28"/>
      <c r="MP213" s="28"/>
      <c r="MQ213" s="28"/>
      <c r="MR213" s="28"/>
      <c r="MS213" s="28"/>
      <c r="MT213" s="28"/>
      <c r="MU213" s="28"/>
      <c r="MV213" s="28"/>
      <c r="MW213" s="28"/>
      <c r="MX213" s="28"/>
      <c r="MY213" s="28"/>
      <c r="MZ213" s="28"/>
      <c r="NA213" s="28"/>
      <c r="NB213" s="28"/>
      <c r="NC213" s="28"/>
      <c r="ND213" s="28"/>
      <c r="NE213" s="28"/>
      <c r="NF213" s="28"/>
      <c r="NG213" s="28"/>
      <c r="NH213" s="28"/>
      <c r="NI213" s="28"/>
      <c r="NJ213" s="28"/>
      <c r="NK213" s="28"/>
      <c r="NL213" s="28"/>
      <c r="NM213" s="28"/>
      <c r="NN213" s="28"/>
      <c r="NO213" s="28"/>
      <c r="NP213" s="28"/>
      <c r="NQ213" s="28"/>
      <c r="NR213" s="28"/>
      <c r="NS213" s="28"/>
      <c r="NT213" s="28"/>
      <c r="NU213" s="28"/>
      <c r="NV213" s="28"/>
      <c r="NW213" s="28"/>
      <c r="NX213" s="28"/>
      <c r="NY213" s="28"/>
      <c r="NZ213" s="28"/>
      <c r="OA213" s="28"/>
      <c r="OB213" s="28"/>
      <c r="OC213" s="28"/>
      <c r="OD213" s="28"/>
      <c r="OE213" s="28"/>
      <c r="OF213" s="28"/>
      <c r="OG213" s="28"/>
      <c r="OH213" s="28"/>
      <c r="OI213" s="28"/>
      <c r="OJ213" s="28"/>
      <c r="OK213" s="28"/>
      <c r="OL213" s="28"/>
      <c r="OM213" s="28"/>
      <c r="ON213" s="28"/>
      <c r="OO213" s="28"/>
      <c r="OP213" s="28"/>
      <c r="OQ213" s="28"/>
      <c r="OR213" s="28"/>
      <c r="OS213" s="28"/>
      <c r="OT213" s="28"/>
      <c r="OU213" s="28"/>
      <c r="OV213" s="28"/>
      <c r="OW213" s="28"/>
      <c r="OX213" s="28"/>
      <c r="OY213" s="28"/>
      <c r="OZ213" s="28"/>
      <c r="PA213" s="28"/>
      <c r="PB213" s="28"/>
      <c r="PC213" s="28"/>
      <c r="PD213" s="28"/>
      <c r="PE213" s="28"/>
      <c r="PF213" s="28"/>
      <c r="PG213" s="28"/>
      <c r="PH213" s="28"/>
      <c r="PI213" s="28"/>
      <c r="PJ213" s="28"/>
      <c r="PK213" s="28"/>
      <c r="PL213" s="28"/>
      <c r="PM213" s="28"/>
      <c r="PN213" s="28"/>
      <c r="PO213" s="28"/>
      <c r="PP213" s="28"/>
      <c r="PQ213" s="28"/>
      <c r="PR213" s="28"/>
      <c r="PS213" s="28"/>
      <c r="PT213" s="28"/>
      <c r="PU213" s="28"/>
      <c r="PV213" s="28"/>
      <c r="PW213" s="28"/>
      <c r="PX213" s="28"/>
      <c r="PY213" s="28"/>
      <c r="PZ213" s="28"/>
      <c r="QA213" s="28"/>
      <c r="QB213" s="28"/>
      <c r="QC213" s="28"/>
      <c r="QD213" s="28"/>
      <c r="QE213" s="28"/>
      <c r="QF213" s="28"/>
      <c r="QG213" s="28"/>
      <c r="QH213" s="28"/>
      <c r="QI213" s="28"/>
      <c r="QJ213" s="28"/>
      <c r="QK213" s="28"/>
      <c r="QL213" s="28"/>
      <c r="QM213" s="28"/>
      <c r="QN213" s="28"/>
      <c r="QO213" s="28"/>
      <c r="QP213" s="28"/>
      <c r="QQ213" s="28"/>
      <c r="QR213" s="28"/>
      <c r="QS213" s="28"/>
      <c r="QT213" s="28"/>
      <c r="QU213" s="28"/>
      <c r="QV213" s="28"/>
      <c r="QW213" s="28"/>
      <c r="QX213" s="28"/>
      <c r="QY213" s="28"/>
      <c r="QZ213" s="28"/>
      <c r="RA213" s="28"/>
      <c r="RB213" s="28"/>
      <c r="RC213" s="28"/>
      <c r="RD213" s="28"/>
      <c r="RE213" s="28"/>
      <c r="RF213" s="28"/>
      <c r="RG213" s="28"/>
      <c r="RH213" s="28"/>
      <c r="RI213" s="28"/>
      <c r="RJ213" s="28"/>
      <c r="RK213" s="28"/>
      <c r="RL213" s="28"/>
      <c r="RM213" s="28"/>
      <c r="RN213" s="28"/>
      <c r="RO213" s="28"/>
      <c r="RP213" s="28"/>
      <c r="RQ213" s="28"/>
      <c r="RR213" s="28"/>
      <c r="RS213" s="28"/>
      <c r="RT213" s="28"/>
      <c r="RU213" s="28"/>
      <c r="RV213" s="28"/>
      <c r="RW213" s="28"/>
      <c r="RX213" s="28"/>
      <c r="RY213" s="28"/>
      <c r="RZ213" s="28"/>
      <c r="SA213" s="28"/>
      <c r="SB213" s="28"/>
      <c r="SC213" s="28"/>
      <c r="SD213" s="28"/>
      <c r="SE213" s="28"/>
      <c r="SF213" s="28"/>
      <c r="SG213" s="28"/>
      <c r="SH213" s="28"/>
      <c r="SI213" s="28"/>
      <c r="SJ213" s="28"/>
      <c r="SK213" s="28"/>
      <c r="SL213" s="28"/>
      <c r="SM213" s="28"/>
      <c r="SN213" s="28"/>
      <c r="SO213" s="28"/>
      <c r="SP213" s="28"/>
      <c r="SQ213" s="28"/>
      <c r="SR213" s="28"/>
      <c r="SS213" s="28"/>
      <c r="ST213" s="28"/>
      <c r="SU213" s="28"/>
      <c r="SV213" s="28"/>
      <c r="SW213" s="28"/>
      <c r="SX213" s="28"/>
      <c r="SY213" s="28"/>
      <c r="SZ213" s="28"/>
      <c r="TA213" s="28"/>
      <c r="TB213" s="28"/>
      <c r="TC213" s="28"/>
      <c r="TD213" s="28"/>
      <c r="TE213" s="28"/>
      <c r="TF213" s="28"/>
      <c r="TG213" s="28"/>
      <c r="TH213" s="28"/>
      <c r="TI213" s="28"/>
      <c r="TJ213" s="28"/>
      <c r="TK213" s="28"/>
      <c r="TL213" s="28"/>
      <c r="TM213" s="28"/>
      <c r="TN213" s="28"/>
      <c r="TO213" s="28"/>
      <c r="TP213" s="28"/>
      <c r="TQ213" s="28"/>
      <c r="TR213" s="28"/>
      <c r="TS213" s="28"/>
      <c r="TT213" s="28"/>
      <c r="TU213" s="28"/>
      <c r="TV213" s="28"/>
      <c r="TW213" s="28"/>
      <c r="TX213" s="28"/>
      <c r="TY213" s="28"/>
      <c r="TZ213" s="28"/>
      <c r="UA213" s="28"/>
      <c r="UB213" s="28"/>
      <c r="UC213" s="28"/>
      <c r="UD213" s="28"/>
      <c r="UE213" s="28"/>
      <c r="UF213" s="28"/>
      <c r="UG213" s="28"/>
      <c r="UH213" s="28"/>
      <c r="UI213" s="28"/>
      <c r="UJ213" s="28"/>
      <c r="UK213" s="28"/>
      <c r="UL213" s="28"/>
      <c r="UM213" s="28"/>
      <c r="UN213" s="28"/>
      <c r="UO213" s="28"/>
      <c r="UP213" s="28"/>
      <c r="UQ213" s="28"/>
      <c r="UR213" s="28"/>
      <c r="US213" s="28"/>
      <c r="UT213" s="28"/>
      <c r="UU213" s="28"/>
      <c r="UV213" s="28"/>
      <c r="UW213" s="28"/>
      <c r="UX213" s="28"/>
      <c r="UY213" s="28"/>
      <c r="UZ213" s="28"/>
      <c r="VA213" s="28"/>
      <c r="VB213" s="28"/>
      <c r="VC213" s="28"/>
      <c r="VD213" s="28"/>
      <c r="VE213" s="28"/>
      <c r="VF213" s="28"/>
      <c r="VG213" s="28"/>
      <c r="VH213" s="28"/>
      <c r="VI213" s="28"/>
      <c r="VJ213" s="28"/>
      <c r="VK213" s="28"/>
      <c r="VL213" s="28"/>
      <c r="VM213" s="28"/>
      <c r="VN213" s="28"/>
      <c r="VO213" s="28"/>
      <c r="VP213" s="28"/>
      <c r="VQ213" s="28"/>
      <c r="VR213" s="28"/>
      <c r="VS213" s="28"/>
      <c r="VT213" s="28"/>
      <c r="VU213" s="28"/>
      <c r="VV213" s="28"/>
      <c r="VW213" s="28"/>
      <c r="VX213" s="28"/>
      <c r="VY213" s="28"/>
      <c r="VZ213" s="28"/>
      <c r="WA213" s="28"/>
      <c r="WB213" s="28"/>
      <c r="WC213" s="28"/>
      <c r="WD213" s="28"/>
      <c r="WE213" s="28"/>
      <c r="WF213" s="28"/>
      <c r="WG213" s="28"/>
      <c r="WH213" s="28"/>
      <c r="WI213" s="28"/>
      <c r="WJ213" s="28"/>
      <c r="WK213" s="28"/>
      <c r="WL213" s="28"/>
      <c r="WM213" s="28"/>
      <c r="WN213" s="28"/>
      <c r="WO213" s="28"/>
      <c r="WP213" s="28"/>
      <c r="WQ213" s="28"/>
      <c r="WR213" s="28"/>
      <c r="WS213" s="28"/>
      <c r="WT213" s="28"/>
      <c r="WU213" s="28"/>
      <c r="WV213" s="28"/>
      <c r="WW213" s="28"/>
      <c r="WX213" s="28"/>
      <c r="WY213" s="28"/>
      <c r="WZ213" s="28"/>
      <c r="XA213" s="28"/>
      <c r="XB213" s="28"/>
      <c r="XC213" s="28"/>
      <c r="XD213" s="28"/>
      <c r="XE213" s="28"/>
      <c r="XF213" s="28"/>
      <c r="XG213" s="28"/>
      <c r="XH213" s="28"/>
      <c r="XI213" s="28"/>
      <c r="XJ213" s="28"/>
      <c r="XK213" s="28"/>
      <c r="XL213" s="28"/>
      <c r="XM213" s="28"/>
      <c r="XN213" s="28"/>
      <c r="XO213" s="28"/>
      <c r="XP213" s="28"/>
      <c r="XQ213" s="28"/>
      <c r="XR213" s="28"/>
      <c r="XS213" s="28"/>
      <c r="XT213" s="28"/>
      <c r="XU213" s="28"/>
      <c r="XV213" s="28"/>
      <c r="XW213" s="28"/>
      <c r="XX213" s="28"/>
      <c r="XY213" s="28"/>
      <c r="XZ213" s="28"/>
      <c r="YA213" s="28"/>
      <c r="YB213" s="28"/>
      <c r="YC213" s="28"/>
      <c r="YD213" s="28"/>
      <c r="YE213" s="28"/>
      <c r="YF213" s="28"/>
      <c r="YG213" s="28"/>
      <c r="YH213" s="28"/>
      <c r="YI213" s="28"/>
      <c r="YJ213" s="28"/>
      <c r="YK213" s="28"/>
      <c r="YL213" s="28"/>
      <c r="YM213" s="28"/>
      <c r="YN213" s="28"/>
      <c r="YO213" s="28"/>
      <c r="YP213" s="28"/>
      <c r="YQ213" s="28"/>
      <c r="YR213" s="28"/>
      <c r="YS213" s="28"/>
      <c r="YT213" s="28"/>
      <c r="YU213" s="28"/>
      <c r="YV213" s="28"/>
      <c r="YW213" s="28"/>
      <c r="YX213" s="28"/>
      <c r="YY213" s="28"/>
      <c r="YZ213" s="28"/>
      <c r="ZA213" s="28"/>
      <c r="ZB213" s="28"/>
      <c r="ZC213" s="28"/>
      <c r="ZD213" s="28"/>
      <c r="ZE213" s="28"/>
      <c r="ZF213" s="28"/>
      <c r="ZG213" s="28"/>
      <c r="ZH213" s="28"/>
      <c r="ZI213" s="28"/>
      <c r="ZJ213" s="28"/>
      <c r="ZK213" s="28"/>
      <c r="ZL213" s="28"/>
      <c r="ZM213" s="28"/>
      <c r="ZN213" s="28"/>
      <c r="ZO213" s="28"/>
      <c r="ZP213" s="28"/>
      <c r="ZQ213" s="28"/>
      <c r="ZR213" s="28"/>
      <c r="ZS213" s="28"/>
      <c r="ZT213" s="28"/>
      <c r="ZU213" s="28"/>
      <c r="ZV213" s="28"/>
      <c r="ZW213" s="28"/>
      <c r="ZX213" s="28"/>
      <c r="ZY213" s="28"/>
      <c r="ZZ213" s="28"/>
      <c r="AAA213" s="28"/>
      <c r="AAB213" s="28"/>
      <c r="AAC213" s="28"/>
      <c r="AAD213" s="28"/>
      <c r="AAE213" s="28"/>
      <c r="AAF213" s="28"/>
      <c r="AAG213" s="28"/>
      <c r="AAH213" s="28"/>
      <c r="AAI213" s="28"/>
      <c r="AAJ213" s="28"/>
      <c r="AAK213" s="28"/>
      <c r="AAL213" s="28"/>
      <c r="AAM213" s="28"/>
      <c r="AAN213" s="28"/>
      <c r="AAO213" s="28"/>
      <c r="AAP213" s="28"/>
      <c r="AAQ213" s="28"/>
      <c r="AAR213" s="28"/>
      <c r="AAS213" s="28"/>
      <c r="AAT213" s="28"/>
      <c r="AAU213" s="28"/>
      <c r="AAV213" s="28"/>
      <c r="AAW213" s="28"/>
      <c r="AAX213" s="28"/>
      <c r="AAY213" s="28"/>
      <c r="AAZ213" s="28"/>
      <c r="ABA213" s="28"/>
      <c r="ABB213" s="28"/>
      <c r="ABC213" s="28"/>
      <c r="ABD213" s="28"/>
      <c r="ABE213" s="28"/>
      <c r="ABF213" s="28"/>
      <c r="ABG213" s="28"/>
      <c r="ABH213" s="28"/>
      <c r="ABI213" s="28"/>
      <c r="ABJ213" s="28"/>
      <c r="ABK213" s="28"/>
      <c r="ABL213" s="28"/>
      <c r="ABM213" s="28"/>
      <c r="ABN213" s="28"/>
      <c r="ABO213" s="28"/>
      <c r="ABP213" s="28"/>
      <c r="ABQ213" s="28"/>
      <c r="ABR213" s="28"/>
      <c r="ABS213" s="28"/>
      <c r="ABT213" s="28"/>
      <c r="ABU213" s="28"/>
      <c r="ABV213" s="28"/>
      <c r="ABW213" s="28"/>
      <c r="ABX213" s="28"/>
      <c r="ABY213" s="28"/>
      <c r="ABZ213" s="28"/>
      <c r="ACA213" s="28"/>
      <c r="ACB213" s="28"/>
      <c r="ACC213" s="28"/>
      <c r="ACD213" s="28"/>
      <c r="ACE213" s="28"/>
      <c r="ACF213" s="28"/>
      <c r="ACG213" s="28"/>
      <c r="ACH213" s="28"/>
      <c r="ACI213" s="28"/>
      <c r="ACJ213" s="28"/>
      <c r="ACK213" s="28"/>
      <c r="ACL213" s="28"/>
      <c r="ACM213" s="28"/>
      <c r="ACN213" s="28"/>
      <c r="ACO213" s="28"/>
      <c r="ACP213" s="28"/>
      <c r="ACQ213" s="28"/>
      <c r="ACR213" s="28"/>
      <c r="ACS213" s="28"/>
      <c r="ACT213" s="28"/>
      <c r="ACU213" s="28"/>
      <c r="ACV213" s="28"/>
      <c r="ACW213" s="28"/>
      <c r="ACX213" s="28"/>
      <c r="ACY213" s="28"/>
      <c r="ACZ213" s="28"/>
      <c r="ADA213" s="28"/>
      <c r="ADB213" s="28"/>
      <c r="ADC213" s="28"/>
      <c r="ADD213" s="28"/>
      <c r="ADE213" s="28"/>
      <c r="ADF213" s="28"/>
      <c r="ADG213" s="28"/>
      <c r="ADH213" s="28"/>
      <c r="ADI213" s="28"/>
      <c r="ADJ213" s="28"/>
      <c r="ADK213" s="28"/>
      <c r="ADL213" s="28"/>
      <c r="ADM213" s="28"/>
      <c r="ADN213" s="28"/>
      <c r="ADO213" s="28"/>
      <c r="ADP213" s="28"/>
      <c r="ADQ213" s="28"/>
      <c r="ADR213" s="28"/>
      <c r="ADS213" s="28"/>
      <c r="ADT213" s="28"/>
      <c r="ADU213" s="28"/>
      <c r="ADV213" s="28"/>
      <c r="ADW213" s="28"/>
      <c r="ADX213" s="28"/>
      <c r="ADY213" s="28"/>
      <c r="ADZ213" s="28"/>
      <c r="AEA213" s="28"/>
      <c r="AEB213" s="28"/>
      <c r="AEC213" s="28"/>
      <c r="AED213" s="28"/>
      <c r="AEE213" s="28"/>
      <c r="AEF213" s="28"/>
      <c r="AEG213" s="28"/>
      <c r="AEH213" s="28"/>
      <c r="AEI213" s="28"/>
      <c r="AEJ213" s="28"/>
      <c r="AEK213" s="28"/>
      <c r="AEL213" s="28"/>
      <c r="AEM213" s="28"/>
      <c r="AEN213" s="28"/>
      <c r="AEO213" s="28"/>
      <c r="AEP213" s="28"/>
      <c r="AEQ213" s="28"/>
      <c r="AER213" s="28"/>
      <c r="AES213" s="28"/>
      <c r="AET213" s="28"/>
      <c r="AEU213" s="28"/>
      <c r="AEV213" s="28"/>
      <c r="AEW213" s="28"/>
      <c r="AEX213" s="28"/>
      <c r="AEY213" s="28"/>
      <c r="AEZ213" s="28"/>
      <c r="AFA213" s="28"/>
      <c r="AFB213" s="28"/>
      <c r="AFC213" s="28"/>
      <c r="AFD213" s="28"/>
      <c r="AFE213" s="28"/>
      <c r="AFF213" s="28"/>
      <c r="AFG213" s="28"/>
      <c r="AFH213" s="28"/>
      <c r="AFI213" s="28"/>
      <c r="AFJ213" s="28"/>
      <c r="AFK213" s="28"/>
      <c r="AFL213" s="28"/>
      <c r="AFM213" s="28"/>
      <c r="AFN213" s="28"/>
      <c r="AFO213" s="28"/>
      <c r="AFP213" s="28"/>
      <c r="AFQ213" s="28"/>
      <c r="AFR213" s="28"/>
      <c r="AFS213" s="28"/>
      <c r="AFT213" s="28"/>
      <c r="AFU213" s="28"/>
      <c r="AFV213" s="28"/>
      <c r="AFW213" s="28"/>
      <c r="AFX213" s="28"/>
      <c r="AFY213" s="28"/>
      <c r="AFZ213" s="28"/>
      <c r="AGA213" s="28"/>
      <c r="AGB213" s="28"/>
      <c r="AGC213" s="28"/>
      <c r="AGD213" s="28"/>
      <c r="AGE213" s="28"/>
      <c r="AGF213" s="28"/>
      <c r="AGG213" s="28"/>
      <c r="AGH213" s="28"/>
      <c r="AGI213" s="28"/>
      <c r="AGJ213" s="28"/>
      <c r="AGK213" s="28"/>
      <c r="AGL213" s="28"/>
      <c r="AGM213" s="28"/>
      <c r="AGN213" s="28"/>
      <c r="AGO213" s="28"/>
      <c r="AGP213" s="28"/>
      <c r="AGQ213" s="28"/>
      <c r="AGR213" s="28"/>
      <c r="AGS213" s="28"/>
      <c r="AGT213" s="28"/>
      <c r="AGU213" s="28"/>
      <c r="AGV213" s="28"/>
      <c r="AGW213" s="28"/>
      <c r="AGX213" s="28"/>
      <c r="AGY213" s="28"/>
      <c r="AGZ213" s="28"/>
      <c r="AHA213" s="28"/>
      <c r="AHB213" s="28"/>
      <c r="AHC213" s="28"/>
      <c r="AHD213" s="28"/>
      <c r="AHE213" s="28"/>
      <c r="AHF213" s="28"/>
      <c r="AHG213" s="28"/>
      <c r="AHH213" s="28"/>
      <c r="AHI213" s="28"/>
      <c r="AHJ213" s="28"/>
      <c r="AHK213" s="28"/>
      <c r="AHL213" s="28"/>
      <c r="AHM213" s="28"/>
      <c r="AHN213" s="28"/>
      <c r="AHO213" s="28"/>
      <c r="AHP213" s="28"/>
      <c r="AHQ213" s="28"/>
      <c r="AHR213" s="28"/>
      <c r="AHS213" s="28"/>
      <c r="AHT213" s="28"/>
      <c r="AHU213" s="28"/>
      <c r="AHV213" s="28"/>
      <c r="AHW213" s="28"/>
      <c r="AHX213" s="28"/>
      <c r="AHY213" s="28"/>
      <c r="AHZ213" s="28"/>
      <c r="AIA213" s="28"/>
      <c r="AIB213" s="28"/>
      <c r="AIC213" s="28"/>
      <c r="AID213" s="28"/>
      <c r="AIE213" s="28"/>
      <c r="AIF213" s="28"/>
      <c r="AIG213" s="28"/>
      <c r="AIH213" s="28"/>
      <c r="AII213" s="28"/>
      <c r="AIJ213" s="28"/>
      <c r="AIK213" s="28"/>
      <c r="AIL213" s="28"/>
      <c r="AIM213" s="28"/>
      <c r="AIN213" s="28"/>
      <c r="AIO213" s="28"/>
      <c r="AIP213" s="28"/>
      <c r="AIQ213" s="28"/>
      <c r="AIR213" s="28"/>
      <c r="AIS213" s="28"/>
      <c r="AIT213" s="28"/>
      <c r="AIU213" s="28"/>
      <c r="AIV213" s="28"/>
      <c r="AIW213" s="28"/>
      <c r="AIX213" s="28"/>
      <c r="AIY213" s="28"/>
      <c r="AIZ213" s="28"/>
      <c r="AJA213" s="28"/>
      <c r="AJB213" s="28"/>
      <c r="AJC213" s="28"/>
      <c r="AJD213" s="28"/>
      <c r="AJE213" s="28"/>
      <c r="AJF213" s="28"/>
      <c r="AJG213" s="28"/>
      <c r="AJH213" s="28"/>
      <c r="AJI213" s="28"/>
      <c r="AJJ213" s="28"/>
      <c r="AJK213" s="28"/>
      <c r="AJL213" s="28"/>
      <c r="AJM213" s="28"/>
      <c r="AJN213" s="28"/>
      <c r="AJO213" s="28"/>
      <c r="AJP213" s="28"/>
      <c r="AJQ213" s="28"/>
      <c r="AJR213" s="28"/>
      <c r="AJS213" s="28"/>
      <c r="AJT213" s="28"/>
      <c r="AJU213" s="28"/>
      <c r="AJV213" s="28"/>
      <c r="AJW213" s="28"/>
      <c r="AJX213" s="28"/>
      <c r="AJY213" s="28"/>
      <c r="AJZ213" s="28"/>
      <c r="AKA213" s="28"/>
      <c r="AKB213" s="28"/>
      <c r="AKC213" s="28"/>
      <c r="AKD213" s="28"/>
      <c r="AKE213" s="28"/>
      <c r="AKF213" s="28"/>
      <c r="AKG213" s="28"/>
      <c r="AKH213" s="28"/>
      <c r="AKI213" s="28"/>
      <c r="AKJ213" s="28"/>
      <c r="AKK213" s="28"/>
      <c r="AKL213" s="28"/>
      <c r="AKM213" s="28"/>
      <c r="AKN213" s="28"/>
      <c r="AKO213" s="28"/>
      <c r="AKP213" s="28"/>
      <c r="AKQ213" s="28"/>
      <c r="AKR213" s="28"/>
      <c r="AKS213" s="28"/>
      <c r="AKT213" s="28"/>
      <c r="AKU213" s="28"/>
      <c r="AKV213" s="28"/>
      <c r="AKW213" s="28"/>
      <c r="AKX213" s="28"/>
      <c r="AKY213" s="28"/>
      <c r="AKZ213" s="28"/>
      <c r="ALA213" s="28"/>
      <c r="ALB213" s="28"/>
      <c r="ALC213" s="28"/>
      <c r="ALD213" s="28"/>
      <c r="ALE213" s="28"/>
      <c r="ALF213" s="28"/>
      <c r="ALG213" s="28"/>
      <c r="ALH213" s="28"/>
      <c r="ALI213" s="28"/>
      <c r="ALJ213" s="28"/>
      <c r="ALK213" s="28"/>
      <c r="ALL213" s="28"/>
      <c r="ALM213" s="28"/>
      <c r="ALN213" s="28"/>
      <c r="ALO213" s="28"/>
      <c r="ALP213" s="28"/>
      <c r="ALQ213" s="28"/>
      <c r="ALR213" s="28"/>
      <c r="ALS213" s="28"/>
      <c r="ALT213" s="28"/>
      <c r="ALU213" s="28"/>
      <c r="ALV213" s="28"/>
      <c r="ALW213" s="28"/>
      <c r="ALX213" s="28"/>
      <c r="ALY213" s="28"/>
      <c r="ALZ213" s="28"/>
      <c r="AMA213" s="28"/>
      <c r="AMB213" s="28"/>
      <c r="AMC213" s="28"/>
      <c r="AMD213" s="28"/>
      <c r="AME213" s="28"/>
      <c r="AMF213" s="28"/>
      <c r="AMG213" s="28"/>
      <c r="AMH213" s="28"/>
      <c r="AMI213" s="28"/>
      <c r="AMJ213" s="28"/>
      <c r="AMK213" s="28"/>
      <c r="AML213" s="28"/>
      <c r="AMM213" s="28"/>
      <c r="AMN213" s="28"/>
      <c r="AMO213" s="28"/>
      <c r="AMP213" s="28"/>
      <c r="AMQ213" s="28"/>
      <c r="AMR213" s="28"/>
      <c r="AMS213" s="28"/>
      <c r="AMT213" s="28"/>
      <c r="AMU213" s="28"/>
      <c r="AMV213" s="28"/>
      <c r="AMW213" s="28"/>
      <c r="AMX213" s="28"/>
      <c r="AMY213" s="28"/>
      <c r="AMZ213" s="28"/>
      <c r="ANA213" s="28"/>
      <c r="ANB213" s="28"/>
      <c r="ANC213" s="28"/>
      <c r="AND213" s="28"/>
      <c r="ANE213" s="28"/>
      <c r="ANF213" s="28"/>
      <c r="ANG213" s="28"/>
      <c r="ANH213" s="28"/>
      <c r="ANI213" s="28"/>
      <c r="ANJ213" s="28"/>
      <c r="ANK213" s="28"/>
      <c r="ANL213" s="28"/>
      <c r="ANM213" s="28"/>
      <c r="ANN213" s="28"/>
      <c r="ANO213" s="28"/>
      <c r="ANP213" s="28"/>
      <c r="ANQ213" s="28"/>
      <c r="ANR213" s="28"/>
      <c r="ANS213" s="28"/>
      <c r="ANT213" s="28"/>
      <c r="ANU213" s="28"/>
      <c r="ANV213" s="28"/>
      <c r="ANW213" s="28"/>
      <c r="ANX213" s="28"/>
      <c r="ANY213" s="28"/>
      <c r="ANZ213" s="28"/>
      <c r="AOA213" s="28"/>
      <c r="AOB213" s="28"/>
      <c r="AOC213" s="28"/>
      <c r="AOD213" s="28"/>
      <c r="AOE213" s="28"/>
      <c r="AOF213" s="28"/>
      <c r="AOG213" s="28"/>
      <c r="AOH213" s="28"/>
      <c r="AOI213" s="28"/>
      <c r="AOJ213" s="28"/>
      <c r="AOK213" s="28"/>
      <c r="AOL213" s="28"/>
      <c r="AOM213" s="28"/>
      <c r="AON213" s="28"/>
      <c r="AOO213" s="28"/>
      <c r="AOP213" s="28"/>
      <c r="AOQ213" s="28"/>
      <c r="AOR213" s="28"/>
      <c r="AOS213" s="28"/>
      <c r="AOT213" s="28"/>
      <c r="AOU213" s="28"/>
      <c r="AOV213" s="28"/>
      <c r="AOW213" s="28"/>
      <c r="AOX213" s="28"/>
      <c r="AOY213" s="28"/>
      <c r="AOZ213" s="28"/>
      <c r="APA213" s="28"/>
      <c r="APB213" s="28"/>
      <c r="APC213" s="28"/>
      <c r="APD213" s="28"/>
      <c r="APE213" s="28"/>
      <c r="APF213" s="28"/>
      <c r="APG213" s="28"/>
      <c r="APH213" s="28"/>
      <c r="API213" s="28"/>
      <c r="APJ213" s="28"/>
      <c r="APK213" s="28"/>
      <c r="APL213" s="28"/>
      <c r="APM213" s="28"/>
      <c r="APN213" s="28"/>
      <c r="APO213" s="28"/>
      <c r="APP213" s="28"/>
      <c r="APQ213" s="28"/>
      <c r="APR213" s="28"/>
      <c r="APS213" s="28"/>
      <c r="APT213" s="28"/>
      <c r="APU213" s="28"/>
      <c r="APV213" s="28"/>
      <c r="APW213" s="28"/>
      <c r="APX213" s="28"/>
      <c r="APY213" s="28"/>
      <c r="APZ213" s="28"/>
      <c r="AQA213" s="28"/>
      <c r="AQB213" s="28"/>
      <c r="AQC213" s="28"/>
      <c r="AQD213" s="28"/>
      <c r="AQE213" s="28"/>
      <c r="AQF213" s="28"/>
      <c r="AQG213" s="28"/>
      <c r="AQH213" s="28"/>
      <c r="AQI213" s="28"/>
      <c r="AQJ213" s="28"/>
      <c r="AQK213" s="28"/>
      <c r="AQL213" s="28"/>
      <c r="AQM213" s="28"/>
      <c r="AQN213" s="28"/>
      <c r="AQO213" s="28"/>
      <c r="AQP213" s="28"/>
      <c r="AQQ213" s="28"/>
      <c r="AQR213" s="28"/>
      <c r="AQS213" s="28"/>
      <c r="AQT213" s="28"/>
      <c r="AQU213" s="28"/>
      <c r="AQV213" s="28"/>
      <c r="AQW213" s="28"/>
      <c r="AQX213" s="28"/>
      <c r="AQY213" s="28"/>
      <c r="AQZ213" s="28"/>
      <c r="ARA213" s="28"/>
      <c r="ARB213" s="28"/>
      <c r="ARC213" s="28"/>
      <c r="ARD213" s="28"/>
      <c r="ARE213" s="28"/>
      <c r="ARF213" s="28"/>
      <c r="ARG213" s="28"/>
      <c r="ARH213" s="28"/>
      <c r="ARI213" s="28"/>
      <c r="ARJ213" s="28"/>
      <c r="ARK213" s="28"/>
      <c r="ARL213" s="28"/>
      <c r="ARM213" s="28"/>
      <c r="ARN213" s="28"/>
      <c r="ARO213" s="28"/>
      <c r="ARP213" s="28"/>
      <c r="ARQ213" s="28"/>
      <c r="ARR213" s="28"/>
      <c r="ARS213" s="28"/>
      <c r="ART213" s="28"/>
      <c r="ARU213" s="28"/>
      <c r="ARV213" s="28"/>
      <c r="ARW213" s="28"/>
      <c r="ARX213" s="28"/>
      <c r="ARY213" s="28"/>
      <c r="ARZ213" s="28"/>
      <c r="ASA213" s="28"/>
      <c r="ASB213" s="28"/>
      <c r="ASC213" s="28"/>
      <c r="ASD213" s="28"/>
      <c r="ASE213" s="28"/>
      <c r="ASF213" s="28"/>
      <c r="ASG213" s="28"/>
      <c r="ASH213" s="28"/>
      <c r="ASI213" s="28"/>
      <c r="ASJ213" s="28"/>
      <c r="ASK213" s="28"/>
      <c r="ASL213" s="28"/>
      <c r="ASM213" s="28"/>
      <c r="ASN213" s="28"/>
      <c r="ASO213" s="28"/>
      <c r="ASP213" s="28"/>
      <c r="ASQ213" s="28"/>
      <c r="ASR213" s="28"/>
      <c r="ASS213" s="28"/>
      <c r="AST213" s="28"/>
      <c r="ASU213" s="28"/>
      <c r="ASV213" s="28"/>
      <c r="ASW213" s="28"/>
      <c r="ASX213" s="28"/>
      <c r="ASY213" s="28"/>
      <c r="ASZ213" s="28"/>
      <c r="ATA213" s="28"/>
      <c r="ATB213" s="28"/>
      <c r="ATC213" s="28"/>
      <c r="ATD213" s="28"/>
      <c r="ATE213" s="28"/>
      <c r="ATF213" s="28"/>
      <c r="ATG213" s="28"/>
      <c r="ATH213" s="28"/>
      <c r="ATI213" s="28"/>
      <c r="ATJ213" s="28"/>
      <c r="ATK213" s="28"/>
      <c r="ATL213" s="28"/>
      <c r="ATM213" s="28"/>
      <c r="ATN213" s="28"/>
      <c r="ATO213" s="28"/>
      <c r="ATP213" s="28"/>
      <c r="ATQ213" s="28"/>
      <c r="ATR213" s="28"/>
      <c r="ATS213" s="28"/>
      <c r="ATT213" s="28"/>
      <c r="ATU213" s="28"/>
      <c r="ATV213" s="28"/>
      <c r="ATW213" s="28"/>
      <c r="ATX213" s="28"/>
      <c r="ATY213" s="28"/>
      <c r="ATZ213" s="28"/>
      <c r="AUA213" s="28"/>
      <c r="AUB213" s="28"/>
      <c r="AUC213" s="28"/>
      <c r="AUD213" s="28"/>
      <c r="AUE213" s="28"/>
      <c r="AUF213" s="28"/>
      <c r="AUG213" s="28"/>
      <c r="AUH213" s="28"/>
      <c r="AUI213" s="28"/>
      <c r="AUJ213" s="28"/>
      <c r="AUK213" s="28"/>
      <c r="AUL213" s="28"/>
      <c r="AUM213" s="28"/>
      <c r="AUN213" s="28"/>
      <c r="AUO213" s="28"/>
      <c r="AUP213" s="28"/>
      <c r="AUQ213" s="28"/>
      <c r="AUR213" s="28"/>
      <c r="AUS213" s="28"/>
      <c r="AUT213" s="28"/>
      <c r="AUU213" s="28"/>
      <c r="AUV213" s="28"/>
      <c r="AUW213" s="28"/>
      <c r="AUX213" s="28"/>
      <c r="AUY213" s="28"/>
      <c r="AUZ213" s="28"/>
      <c r="AVA213" s="28"/>
      <c r="AVB213" s="28"/>
      <c r="AVC213" s="28"/>
      <c r="AVD213" s="28"/>
      <c r="AVE213" s="28"/>
      <c r="AVF213" s="28"/>
      <c r="AVG213" s="28"/>
      <c r="AVH213" s="28"/>
      <c r="AVI213" s="28"/>
      <c r="AVJ213" s="28"/>
      <c r="AVK213" s="28"/>
      <c r="AVL213" s="28"/>
      <c r="AVM213" s="28"/>
      <c r="AVN213" s="28"/>
      <c r="AVO213" s="28"/>
      <c r="AVP213" s="28"/>
      <c r="AVQ213" s="28"/>
      <c r="AVR213" s="28"/>
      <c r="AVS213" s="28"/>
      <c r="AVT213" s="28"/>
      <c r="AVU213" s="28"/>
      <c r="AVV213" s="28"/>
      <c r="AVW213" s="28"/>
      <c r="AVX213" s="28"/>
      <c r="AVY213" s="28"/>
      <c r="AVZ213" s="28"/>
      <c r="AWA213" s="28"/>
      <c r="AWB213" s="28"/>
      <c r="AWC213" s="28"/>
      <c r="AWD213" s="28"/>
      <c r="AWE213" s="28"/>
      <c r="AWF213" s="28"/>
      <c r="AWG213" s="28"/>
      <c r="AWH213" s="28"/>
      <c r="AWI213" s="28"/>
      <c r="AWJ213" s="28"/>
      <c r="AWK213" s="28"/>
      <c r="AWL213" s="28"/>
      <c r="AWM213" s="28"/>
      <c r="AWN213" s="28"/>
      <c r="AWO213" s="28"/>
      <c r="AWP213" s="28"/>
      <c r="AWQ213" s="28"/>
      <c r="AWR213" s="28"/>
      <c r="AWS213" s="28"/>
      <c r="AWT213" s="28"/>
      <c r="AWU213" s="28"/>
      <c r="AWV213" s="28"/>
      <c r="AWW213" s="28"/>
      <c r="AWX213" s="28"/>
      <c r="AWY213" s="28"/>
      <c r="AWZ213" s="28"/>
      <c r="AXA213" s="28"/>
      <c r="AXB213" s="28"/>
      <c r="AXC213" s="28"/>
      <c r="AXD213" s="28"/>
      <c r="AXE213" s="28"/>
      <c r="AXF213" s="28"/>
      <c r="AXG213" s="28"/>
      <c r="AXH213" s="28"/>
      <c r="AXI213" s="28"/>
      <c r="AXJ213" s="28"/>
      <c r="AXK213" s="28"/>
      <c r="AXL213" s="28"/>
      <c r="AXM213" s="28"/>
      <c r="AXN213" s="28"/>
      <c r="AXO213" s="28"/>
      <c r="AXP213" s="28"/>
      <c r="AXQ213" s="28"/>
      <c r="AXR213" s="28"/>
      <c r="AXS213" s="28"/>
      <c r="AXT213" s="28"/>
      <c r="AXU213" s="28"/>
      <c r="AXV213" s="28"/>
      <c r="AXW213" s="28"/>
      <c r="AXX213" s="28"/>
      <c r="AXY213" s="28"/>
      <c r="AXZ213" s="28"/>
      <c r="AYA213" s="28"/>
      <c r="AYB213" s="28"/>
      <c r="AYC213" s="28"/>
      <c r="AYD213" s="28"/>
      <c r="AYE213" s="28"/>
      <c r="AYF213" s="28"/>
      <c r="AYG213" s="28"/>
      <c r="AYH213" s="28"/>
      <c r="AYI213" s="28"/>
      <c r="AYJ213" s="28"/>
      <c r="AYK213" s="28"/>
      <c r="AYL213" s="28"/>
      <c r="AYM213" s="28"/>
      <c r="AYN213" s="28"/>
      <c r="AYO213" s="28"/>
      <c r="AYP213" s="28"/>
      <c r="AYQ213" s="28"/>
      <c r="AYR213" s="28"/>
      <c r="AYS213" s="28"/>
      <c r="AYT213" s="28"/>
      <c r="AYU213" s="28"/>
      <c r="AYV213" s="28"/>
      <c r="AYW213" s="28"/>
      <c r="AYX213" s="28"/>
      <c r="AYY213" s="28"/>
      <c r="AYZ213" s="28"/>
      <c r="AZA213" s="28"/>
      <c r="AZB213" s="28"/>
      <c r="AZC213" s="28"/>
      <c r="AZD213" s="28"/>
      <c r="AZE213" s="28"/>
      <c r="AZF213" s="28"/>
      <c r="AZG213" s="28"/>
      <c r="AZH213" s="28"/>
      <c r="AZI213" s="28"/>
      <c r="AZJ213" s="28"/>
      <c r="AZK213" s="28"/>
      <c r="AZL213" s="28"/>
      <c r="AZM213" s="28"/>
      <c r="AZN213" s="28"/>
      <c r="AZO213" s="28"/>
      <c r="AZP213" s="28"/>
      <c r="AZQ213" s="28"/>
      <c r="AZR213" s="28"/>
      <c r="AZS213" s="28"/>
      <c r="AZT213" s="28"/>
      <c r="AZU213" s="28"/>
      <c r="AZV213" s="28"/>
      <c r="AZW213" s="28"/>
      <c r="AZX213" s="28"/>
      <c r="AZY213" s="28"/>
      <c r="AZZ213" s="28"/>
      <c r="BAA213" s="28"/>
      <c r="BAB213" s="28"/>
      <c r="BAC213" s="28"/>
      <c r="BAD213" s="28"/>
      <c r="BAE213" s="28"/>
      <c r="BAF213" s="28"/>
      <c r="BAG213" s="28"/>
      <c r="BAH213" s="28"/>
      <c r="BAI213" s="28"/>
      <c r="BAJ213" s="28"/>
      <c r="BAK213" s="28"/>
      <c r="BAL213" s="28"/>
      <c r="BAM213" s="28"/>
      <c r="BAN213" s="28"/>
      <c r="BAO213" s="28"/>
      <c r="BAP213" s="28"/>
      <c r="BAQ213" s="28"/>
      <c r="BAR213" s="28"/>
      <c r="BAS213" s="28"/>
      <c r="BAT213" s="28"/>
      <c r="BAU213" s="28"/>
      <c r="BAV213" s="28"/>
      <c r="BAW213" s="28"/>
      <c r="BAX213" s="28"/>
      <c r="BAY213" s="28"/>
      <c r="BAZ213" s="28"/>
      <c r="BBA213" s="28"/>
      <c r="BBB213" s="28"/>
      <c r="BBC213" s="28"/>
      <c r="BBD213" s="28"/>
      <c r="BBE213" s="28"/>
      <c r="BBF213" s="28"/>
      <c r="BBG213" s="28"/>
      <c r="BBH213" s="28"/>
      <c r="BBI213" s="28"/>
      <c r="BBJ213" s="28"/>
      <c r="BBK213" s="28"/>
      <c r="BBL213" s="28"/>
      <c r="BBM213" s="28"/>
      <c r="BBN213" s="28"/>
      <c r="BBO213" s="28"/>
      <c r="BBP213" s="28"/>
      <c r="BBQ213" s="28"/>
      <c r="BBR213" s="28"/>
      <c r="BBS213" s="28"/>
      <c r="BBT213" s="28"/>
      <c r="BBU213" s="28"/>
      <c r="BBV213" s="28"/>
      <c r="BBW213" s="28"/>
      <c r="BBX213" s="28"/>
      <c r="BBY213" s="28"/>
      <c r="BBZ213" s="28"/>
      <c r="BCA213" s="28"/>
      <c r="BCB213" s="28"/>
      <c r="BCC213" s="28"/>
      <c r="BCD213" s="28"/>
      <c r="BCE213" s="28"/>
      <c r="BCF213" s="28"/>
      <c r="BCG213" s="28"/>
      <c r="BCH213" s="28"/>
      <c r="BCI213" s="28"/>
      <c r="BCJ213" s="28"/>
      <c r="BCK213" s="28"/>
      <c r="BCL213" s="28"/>
      <c r="BCM213" s="28"/>
      <c r="BCN213" s="28"/>
      <c r="BCO213" s="28"/>
      <c r="BCP213" s="28"/>
      <c r="BCQ213" s="28"/>
      <c r="BCR213" s="28"/>
      <c r="BCS213" s="28"/>
      <c r="BCT213" s="28"/>
      <c r="BCU213" s="28"/>
      <c r="BCV213" s="28"/>
      <c r="BCW213" s="28"/>
      <c r="BCX213" s="28"/>
      <c r="BCY213" s="28"/>
      <c r="BCZ213" s="28"/>
      <c r="BDA213" s="28"/>
      <c r="BDB213" s="28"/>
      <c r="BDC213" s="28"/>
      <c r="BDD213" s="28"/>
      <c r="BDE213" s="28"/>
      <c r="BDF213" s="28"/>
      <c r="BDG213" s="28"/>
      <c r="BDH213" s="28"/>
      <c r="BDI213" s="28"/>
      <c r="BDJ213" s="28"/>
      <c r="BDK213" s="28"/>
      <c r="BDL213" s="28"/>
      <c r="BDM213" s="28"/>
      <c r="BDN213" s="28"/>
      <c r="BDO213" s="28"/>
      <c r="BDP213" s="28"/>
      <c r="BDQ213" s="28"/>
      <c r="BDR213" s="28"/>
      <c r="BDS213" s="28"/>
      <c r="BDT213" s="28"/>
      <c r="BDU213" s="28"/>
      <c r="BDV213" s="28"/>
      <c r="BDW213" s="28"/>
      <c r="BDX213" s="28"/>
      <c r="BDY213" s="28"/>
      <c r="BDZ213" s="28"/>
      <c r="BEA213" s="28"/>
      <c r="BEB213" s="28"/>
      <c r="BEC213" s="28"/>
      <c r="BED213" s="28"/>
      <c r="BEE213" s="28"/>
      <c r="BEF213" s="28"/>
      <c r="BEG213" s="28"/>
      <c r="BEH213" s="28"/>
      <c r="BEI213" s="28"/>
      <c r="BEJ213" s="28"/>
      <c r="BEK213" s="28"/>
      <c r="BEL213" s="28"/>
      <c r="BEM213" s="28"/>
      <c r="BEN213" s="28"/>
      <c r="BEO213" s="28"/>
      <c r="BEP213" s="28"/>
      <c r="BEQ213" s="28"/>
      <c r="BER213" s="28"/>
      <c r="BES213" s="28"/>
      <c r="BET213" s="28"/>
      <c r="BEU213" s="28"/>
      <c r="BEV213" s="28"/>
      <c r="BEW213" s="28"/>
      <c r="BEX213" s="28"/>
      <c r="BEY213" s="28"/>
      <c r="BEZ213" s="28"/>
      <c r="BFA213" s="28"/>
      <c r="BFB213" s="28"/>
      <c r="BFC213" s="28"/>
      <c r="BFD213" s="28"/>
      <c r="BFE213" s="28"/>
      <c r="BFF213" s="28"/>
      <c r="BFG213" s="28"/>
      <c r="BFH213" s="28"/>
      <c r="BFI213" s="28"/>
      <c r="BFJ213" s="28"/>
      <c r="BFK213" s="28"/>
      <c r="BFL213" s="28"/>
      <c r="BFM213" s="28"/>
      <c r="BFN213" s="28"/>
      <c r="BFO213" s="28"/>
      <c r="BFP213" s="28"/>
      <c r="BFQ213" s="28"/>
      <c r="BFR213" s="28"/>
      <c r="BFS213" s="28"/>
      <c r="BFT213" s="28"/>
      <c r="BFU213" s="28"/>
      <c r="BFV213" s="28"/>
      <c r="BFW213" s="28"/>
      <c r="BFX213" s="28"/>
      <c r="BFY213" s="28"/>
      <c r="BFZ213" s="28"/>
      <c r="BGA213" s="28"/>
      <c r="BGB213" s="28"/>
      <c r="BGC213" s="28"/>
      <c r="BGD213" s="28"/>
      <c r="BGE213" s="28"/>
      <c r="BGF213" s="28"/>
      <c r="BGG213" s="28"/>
      <c r="BGH213" s="28"/>
      <c r="BGI213" s="28"/>
      <c r="BGJ213" s="28"/>
      <c r="BGK213" s="28"/>
      <c r="BGL213" s="28"/>
      <c r="BGM213" s="28"/>
      <c r="BGN213" s="28"/>
      <c r="BGO213" s="28"/>
      <c r="BGP213" s="28"/>
      <c r="BGQ213" s="28"/>
      <c r="BGR213" s="28"/>
      <c r="BGS213" s="28"/>
      <c r="BGT213" s="28"/>
      <c r="BGU213" s="28"/>
      <c r="BGV213" s="28"/>
      <c r="BGW213" s="28"/>
      <c r="BGX213" s="28"/>
      <c r="BGY213" s="28"/>
      <c r="BGZ213" s="28"/>
      <c r="BHA213" s="28"/>
      <c r="BHB213" s="28"/>
      <c r="BHC213" s="28"/>
      <c r="BHD213" s="28"/>
      <c r="BHE213" s="28"/>
      <c r="BHF213" s="28"/>
      <c r="BHG213" s="28"/>
      <c r="BHH213" s="28"/>
      <c r="BHI213" s="28"/>
      <c r="BHJ213" s="28"/>
      <c r="BHK213" s="28"/>
      <c r="BHL213" s="28"/>
      <c r="BHM213" s="28"/>
      <c r="BHN213" s="28"/>
      <c r="BHO213" s="28"/>
      <c r="BHP213" s="28"/>
      <c r="BHQ213" s="28"/>
      <c r="BHR213" s="28"/>
      <c r="BHS213" s="28"/>
      <c r="BHT213" s="28"/>
      <c r="BHU213" s="28"/>
      <c r="BHV213" s="28"/>
      <c r="BHW213" s="28"/>
      <c r="BHX213" s="28"/>
      <c r="BHY213" s="28"/>
      <c r="BHZ213" s="28"/>
      <c r="BIA213" s="28"/>
      <c r="BIB213" s="28"/>
      <c r="BIC213" s="28"/>
      <c r="BID213" s="28"/>
      <c r="BIE213" s="28"/>
      <c r="BIF213" s="28"/>
      <c r="BIG213" s="28"/>
      <c r="BIH213" s="28"/>
      <c r="BII213" s="28"/>
      <c r="BIJ213" s="28"/>
      <c r="BIK213" s="28"/>
      <c r="BIL213" s="28"/>
      <c r="BIM213" s="28"/>
      <c r="BIN213" s="28"/>
      <c r="BIO213" s="28"/>
      <c r="BIP213" s="28"/>
      <c r="BIQ213" s="28"/>
      <c r="BIR213" s="28"/>
      <c r="BIS213" s="28"/>
      <c r="BIT213" s="28"/>
      <c r="BIU213" s="28"/>
      <c r="BIV213" s="28"/>
      <c r="BIW213" s="28"/>
      <c r="BIX213" s="28"/>
      <c r="BIY213" s="28"/>
      <c r="BIZ213" s="28"/>
      <c r="BJA213" s="28"/>
      <c r="BJB213" s="28"/>
      <c r="BJC213" s="28"/>
      <c r="BJD213" s="28"/>
      <c r="BJE213" s="28"/>
      <c r="BJF213" s="28"/>
      <c r="BJG213" s="28"/>
      <c r="BJH213" s="28"/>
      <c r="BJI213" s="28"/>
      <c r="BJJ213" s="28"/>
      <c r="BJK213" s="28"/>
      <c r="BJL213" s="28"/>
      <c r="BJM213" s="28"/>
      <c r="BJN213" s="28"/>
      <c r="BJO213" s="28"/>
      <c r="BJP213" s="28"/>
      <c r="BJQ213" s="28"/>
      <c r="BJR213" s="28"/>
      <c r="BJS213" s="28"/>
      <c r="BJT213" s="28"/>
      <c r="BJU213" s="28"/>
      <c r="BJV213" s="28"/>
      <c r="BJW213" s="28"/>
      <c r="BJX213" s="28"/>
      <c r="BJY213" s="28"/>
      <c r="BJZ213" s="28"/>
      <c r="BKA213" s="28"/>
      <c r="BKB213" s="28"/>
      <c r="BKC213" s="28"/>
      <c r="BKD213" s="28"/>
      <c r="BKE213" s="28"/>
      <c r="BKF213" s="28"/>
      <c r="BKG213" s="28"/>
      <c r="BKH213" s="28"/>
      <c r="BKI213" s="28"/>
      <c r="BKJ213" s="28"/>
      <c r="BKK213" s="28"/>
      <c r="BKL213" s="28"/>
      <c r="BKM213" s="28"/>
      <c r="BKN213" s="28"/>
      <c r="BKO213" s="28"/>
      <c r="BKP213" s="28"/>
      <c r="BKQ213" s="28"/>
      <c r="BKR213" s="28"/>
      <c r="BKS213" s="28"/>
      <c r="BKT213" s="28"/>
      <c r="BKU213" s="28"/>
      <c r="BKV213" s="28"/>
      <c r="BKW213" s="28"/>
      <c r="BKX213" s="28"/>
      <c r="BKY213" s="28"/>
      <c r="BKZ213" s="28"/>
      <c r="BLA213" s="28"/>
      <c r="BLB213" s="28"/>
      <c r="BLC213" s="28"/>
      <c r="BLD213" s="28"/>
      <c r="BLE213" s="28"/>
      <c r="BLF213" s="28"/>
      <c r="BLG213" s="28"/>
      <c r="BLH213" s="28"/>
      <c r="BLI213" s="28"/>
      <c r="BLJ213" s="28"/>
      <c r="BLK213" s="28"/>
      <c r="BLL213" s="28"/>
      <c r="BLM213" s="28"/>
      <c r="BLN213" s="28"/>
      <c r="BLO213" s="28"/>
      <c r="BLP213" s="28"/>
      <c r="BLQ213" s="28"/>
      <c r="BLR213" s="28"/>
      <c r="BLS213" s="28"/>
      <c r="BLT213" s="28"/>
      <c r="BLU213" s="28"/>
      <c r="BLV213" s="28"/>
      <c r="BLW213" s="28"/>
      <c r="BLX213" s="28"/>
      <c r="BLY213" s="28"/>
      <c r="BLZ213" s="28"/>
      <c r="BMA213" s="28"/>
      <c r="BMB213" s="28"/>
      <c r="BMC213" s="28"/>
      <c r="BMD213" s="28"/>
      <c r="BME213" s="28"/>
      <c r="BMF213" s="28"/>
      <c r="BMG213" s="28"/>
      <c r="BMH213" s="28"/>
      <c r="BMI213" s="28"/>
      <c r="BMJ213" s="28"/>
      <c r="BMK213" s="28"/>
      <c r="BML213" s="28"/>
      <c r="BMM213" s="28"/>
      <c r="BMN213" s="28"/>
      <c r="BMO213" s="28"/>
      <c r="BMP213" s="28"/>
      <c r="BMQ213" s="28"/>
      <c r="BMR213" s="28"/>
      <c r="BMS213" s="28"/>
      <c r="BMT213" s="28"/>
      <c r="BMU213" s="28"/>
      <c r="BMV213" s="28"/>
      <c r="BMW213" s="28"/>
      <c r="BMX213" s="28"/>
      <c r="BMY213" s="28"/>
      <c r="BMZ213" s="28"/>
      <c r="BNA213" s="28"/>
      <c r="BNB213" s="28"/>
      <c r="BNC213" s="28"/>
      <c r="BND213" s="28"/>
      <c r="BNE213" s="28"/>
      <c r="BNF213" s="28"/>
      <c r="BNG213" s="28"/>
      <c r="BNH213" s="28"/>
      <c r="BNI213" s="28"/>
      <c r="BNJ213" s="28"/>
      <c r="BNK213" s="28"/>
      <c r="BNL213" s="28"/>
      <c r="BNM213" s="28"/>
      <c r="BNN213" s="28"/>
      <c r="BNO213" s="28"/>
      <c r="BNP213" s="28"/>
      <c r="BNQ213" s="28"/>
      <c r="BNR213" s="28"/>
      <c r="BNS213" s="28"/>
      <c r="BNT213" s="28"/>
      <c r="BNU213" s="28"/>
      <c r="BNV213" s="28"/>
      <c r="BNW213" s="28"/>
      <c r="BNX213" s="28"/>
      <c r="BNY213" s="28"/>
      <c r="BNZ213" s="28"/>
      <c r="BOA213" s="28"/>
      <c r="BOB213" s="28"/>
      <c r="BOC213" s="28"/>
      <c r="BOD213" s="28"/>
      <c r="BOE213" s="28"/>
      <c r="BOF213" s="28"/>
      <c r="BOG213" s="28"/>
      <c r="BOH213" s="28"/>
      <c r="BOI213" s="28"/>
      <c r="BOJ213" s="28"/>
      <c r="BOK213" s="28"/>
      <c r="BOL213" s="28"/>
      <c r="BOM213" s="28"/>
      <c r="BON213" s="28"/>
      <c r="BOO213" s="28"/>
      <c r="BOP213" s="28"/>
      <c r="BOQ213" s="28"/>
      <c r="BOR213" s="28"/>
      <c r="BOS213" s="28"/>
      <c r="BOT213" s="28"/>
      <c r="BOU213" s="28"/>
      <c r="BOV213" s="28"/>
      <c r="BOW213" s="28"/>
      <c r="BOX213" s="28"/>
      <c r="BOY213" s="28"/>
      <c r="BOZ213" s="28"/>
      <c r="BPA213" s="28"/>
      <c r="BPB213" s="28"/>
      <c r="BPC213" s="28"/>
      <c r="BPD213" s="28"/>
      <c r="BPE213" s="28"/>
      <c r="BPF213" s="28"/>
      <c r="BPG213" s="28"/>
      <c r="BPH213" s="28"/>
      <c r="BPI213" s="28"/>
      <c r="BPJ213" s="28"/>
      <c r="BPK213" s="28"/>
      <c r="BPL213" s="28"/>
      <c r="BPM213" s="28"/>
      <c r="BPN213" s="28"/>
      <c r="BPO213" s="28"/>
      <c r="BPP213" s="28"/>
      <c r="BPQ213" s="28"/>
      <c r="BPR213" s="28"/>
      <c r="BPS213" s="28"/>
      <c r="BPT213" s="28"/>
      <c r="BPU213" s="28"/>
      <c r="BPV213" s="28"/>
      <c r="BPW213" s="28"/>
      <c r="BPX213" s="28"/>
      <c r="BPY213" s="28"/>
      <c r="BPZ213" s="28"/>
      <c r="BQA213" s="28"/>
      <c r="BQB213" s="28"/>
      <c r="BQC213" s="28"/>
      <c r="BQD213" s="28"/>
      <c r="BQE213" s="28"/>
      <c r="BQF213" s="28"/>
      <c r="BQG213" s="28"/>
      <c r="BQH213" s="28"/>
      <c r="BQI213" s="28"/>
      <c r="BQJ213" s="28"/>
      <c r="BQK213" s="28"/>
      <c r="BQL213" s="28"/>
      <c r="BQM213" s="28"/>
      <c r="BQN213" s="28"/>
      <c r="BQO213" s="28"/>
      <c r="BQP213" s="28"/>
      <c r="BQQ213" s="28"/>
      <c r="BQR213" s="28"/>
      <c r="BQS213" s="28"/>
      <c r="BQT213" s="28"/>
      <c r="BQU213" s="28"/>
      <c r="BQV213" s="28"/>
      <c r="BQW213" s="28"/>
      <c r="BQX213" s="28"/>
      <c r="BQY213" s="28"/>
      <c r="BQZ213" s="28"/>
      <c r="BRA213" s="28"/>
      <c r="BRB213" s="28"/>
      <c r="BRC213" s="28"/>
      <c r="BRD213" s="28"/>
      <c r="BRE213" s="28"/>
      <c r="BRF213" s="28"/>
      <c r="BRG213" s="28"/>
      <c r="BRH213" s="28"/>
      <c r="BRI213" s="28"/>
      <c r="BRJ213" s="28"/>
      <c r="BRK213" s="28"/>
      <c r="BRL213" s="28"/>
      <c r="BRM213" s="28"/>
      <c r="BRN213" s="28"/>
      <c r="BRO213" s="28"/>
      <c r="BRP213" s="28"/>
      <c r="BRQ213" s="28"/>
      <c r="BRR213" s="28"/>
      <c r="BRS213" s="28"/>
      <c r="BRT213" s="28"/>
      <c r="BRU213" s="28"/>
      <c r="BRV213" s="28"/>
      <c r="BRW213" s="28"/>
      <c r="BRX213" s="28"/>
      <c r="BRY213" s="28"/>
      <c r="BRZ213" s="28"/>
      <c r="BSA213" s="28"/>
      <c r="BSB213" s="28"/>
      <c r="BSC213" s="28"/>
      <c r="BSD213" s="28"/>
      <c r="BSE213" s="28"/>
      <c r="BSF213" s="28"/>
      <c r="BSG213" s="28"/>
      <c r="BSH213" s="28"/>
      <c r="BSI213" s="28"/>
      <c r="BSJ213" s="28"/>
      <c r="BSK213" s="28"/>
      <c r="BSL213" s="28"/>
      <c r="BSM213" s="28"/>
      <c r="BSN213" s="28"/>
      <c r="BSO213" s="28"/>
      <c r="BSP213" s="28"/>
      <c r="BSQ213" s="28"/>
      <c r="BSR213" s="28"/>
      <c r="BSS213" s="28"/>
      <c r="BST213" s="28"/>
      <c r="BSU213" s="28"/>
      <c r="BSV213" s="28"/>
      <c r="BSW213" s="28"/>
      <c r="BSX213" s="28"/>
      <c r="BSY213" s="28"/>
      <c r="BSZ213" s="28"/>
      <c r="BTA213" s="28"/>
      <c r="BTB213" s="28"/>
      <c r="BTC213" s="28"/>
      <c r="BTD213" s="28"/>
      <c r="BTE213" s="28"/>
      <c r="BTF213" s="28"/>
      <c r="BTG213" s="28"/>
      <c r="BTH213" s="28"/>
      <c r="BTI213" s="28"/>
      <c r="BTJ213" s="28"/>
      <c r="BTK213" s="28"/>
      <c r="BTL213" s="28"/>
      <c r="BTM213" s="28"/>
      <c r="BTN213" s="28"/>
      <c r="BTO213" s="28"/>
      <c r="BTP213" s="28"/>
      <c r="BTQ213" s="28"/>
      <c r="BTR213" s="28"/>
      <c r="BTS213" s="28"/>
      <c r="BTT213" s="28"/>
      <c r="BTU213" s="28"/>
      <c r="BTV213" s="28"/>
      <c r="BTW213" s="28"/>
      <c r="BTX213" s="28"/>
      <c r="BTY213" s="28"/>
      <c r="BTZ213" s="28"/>
      <c r="BUA213" s="28"/>
      <c r="BUB213" s="28"/>
      <c r="BUC213" s="28"/>
      <c r="BUD213" s="28"/>
      <c r="BUE213" s="28"/>
      <c r="BUF213" s="28"/>
      <c r="BUG213" s="28"/>
      <c r="BUH213" s="28"/>
      <c r="BUI213" s="28"/>
      <c r="BUJ213" s="28"/>
      <c r="BUK213" s="28"/>
      <c r="BUL213" s="28"/>
      <c r="BUM213" s="28"/>
      <c r="BUN213" s="28"/>
      <c r="BUO213" s="28"/>
      <c r="BUP213" s="28"/>
      <c r="BUQ213" s="28"/>
      <c r="BUR213" s="28"/>
      <c r="BUS213" s="28"/>
      <c r="BUT213" s="28"/>
      <c r="BUU213" s="28"/>
      <c r="BUV213" s="28"/>
      <c r="BUW213" s="28"/>
      <c r="BUX213" s="28"/>
      <c r="BUY213" s="28"/>
      <c r="BUZ213" s="28"/>
      <c r="BVA213" s="28"/>
      <c r="BVB213" s="28"/>
      <c r="BVC213" s="28"/>
      <c r="BVD213" s="28"/>
      <c r="BVE213" s="28"/>
      <c r="BVF213" s="28"/>
      <c r="BVG213" s="28"/>
      <c r="BVH213" s="28"/>
      <c r="BVI213" s="28"/>
      <c r="BVJ213" s="28"/>
      <c r="BVK213" s="28"/>
      <c r="BVL213" s="28"/>
      <c r="BVM213" s="28"/>
      <c r="BVN213" s="28"/>
      <c r="BVO213" s="28"/>
      <c r="BVP213" s="28"/>
      <c r="BVQ213" s="28"/>
      <c r="BVR213" s="28"/>
      <c r="BVS213" s="28"/>
      <c r="BVT213" s="28"/>
      <c r="BVU213" s="28"/>
      <c r="BVV213" s="28"/>
      <c r="BVW213" s="28"/>
      <c r="BVX213" s="28"/>
      <c r="BVY213" s="28"/>
      <c r="BVZ213" s="28"/>
      <c r="BWA213" s="28"/>
      <c r="BWB213" s="28"/>
      <c r="BWC213" s="28"/>
      <c r="BWD213" s="28"/>
      <c r="BWE213" s="28"/>
      <c r="BWF213" s="28"/>
      <c r="BWG213" s="28"/>
      <c r="BWH213" s="28"/>
      <c r="BWI213" s="28"/>
      <c r="BWJ213" s="28"/>
      <c r="BWK213" s="28"/>
      <c r="BWL213" s="28"/>
      <c r="BWM213" s="28"/>
      <c r="BWN213" s="28"/>
      <c r="BWO213" s="28"/>
      <c r="BWP213" s="28"/>
      <c r="BWQ213" s="28"/>
      <c r="BWR213" s="28"/>
      <c r="BWS213" s="28"/>
      <c r="BWT213" s="28"/>
      <c r="BWU213" s="28"/>
      <c r="BWV213" s="28"/>
      <c r="BWW213" s="28"/>
      <c r="BWX213" s="28"/>
      <c r="BWY213" s="28"/>
      <c r="BWZ213" s="28"/>
      <c r="BXA213" s="28"/>
      <c r="BXB213" s="28"/>
      <c r="BXC213" s="28"/>
      <c r="BXD213" s="28"/>
      <c r="BXE213" s="28"/>
      <c r="BXF213" s="28"/>
      <c r="BXG213" s="28"/>
      <c r="BXH213" s="28"/>
      <c r="BXI213" s="28"/>
      <c r="BXJ213" s="28"/>
      <c r="BXK213" s="28"/>
      <c r="BXL213" s="28"/>
      <c r="BXM213" s="28"/>
      <c r="BXN213" s="28"/>
      <c r="BXO213" s="28"/>
      <c r="BXP213" s="28"/>
      <c r="BXQ213" s="28"/>
      <c r="BXR213" s="28"/>
      <c r="BXS213" s="28"/>
      <c r="BXT213" s="28"/>
      <c r="BXU213" s="28"/>
      <c r="BXV213" s="28"/>
      <c r="BXW213" s="28"/>
      <c r="BXX213" s="28"/>
      <c r="BXY213" s="28"/>
      <c r="BXZ213" s="28"/>
      <c r="BYA213" s="28"/>
      <c r="BYB213" s="28"/>
      <c r="BYC213" s="28"/>
      <c r="BYD213" s="28"/>
      <c r="BYE213" s="28"/>
      <c r="BYF213" s="28"/>
      <c r="BYG213" s="28"/>
      <c r="BYH213" s="28"/>
      <c r="BYI213" s="28"/>
      <c r="BYJ213" s="28"/>
      <c r="BYK213" s="28"/>
      <c r="BYL213" s="28"/>
      <c r="BYM213" s="28"/>
      <c r="BYN213" s="28"/>
      <c r="BYO213" s="28"/>
      <c r="BYP213" s="28"/>
      <c r="BYQ213" s="28"/>
      <c r="BYR213" s="28"/>
      <c r="BYS213" s="28"/>
      <c r="BYT213" s="28"/>
      <c r="BYU213" s="28"/>
      <c r="BYV213" s="28"/>
      <c r="BYW213" s="28"/>
      <c r="BYX213" s="28"/>
      <c r="BYY213" s="28"/>
      <c r="BYZ213" s="28"/>
      <c r="BZA213" s="28"/>
      <c r="BZB213" s="28"/>
      <c r="BZC213" s="28"/>
      <c r="BZD213" s="28"/>
      <c r="BZE213" s="28"/>
      <c r="BZF213" s="28"/>
      <c r="BZG213" s="28"/>
      <c r="BZH213" s="28"/>
      <c r="BZI213" s="28"/>
      <c r="BZJ213" s="28"/>
      <c r="BZK213" s="28"/>
      <c r="BZL213" s="28"/>
      <c r="BZM213" s="28"/>
      <c r="BZN213" s="28"/>
      <c r="BZO213" s="28"/>
      <c r="BZP213" s="28"/>
      <c r="BZQ213" s="28"/>
      <c r="BZR213" s="28"/>
      <c r="BZS213" s="28"/>
      <c r="BZT213" s="28"/>
      <c r="BZU213" s="28"/>
      <c r="BZV213" s="28"/>
      <c r="BZW213" s="28"/>
      <c r="BZX213" s="28"/>
      <c r="BZY213" s="28"/>
      <c r="BZZ213" s="28"/>
      <c r="CAA213" s="28"/>
      <c r="CAB213" s="28"/>
      <c r="CAC213" s="28"/>
      <c r="CAD213" s="28"/>
      <c r="CAE213" s="28"/>
      <c r="CAF213" s="28"/>
      <c r="CAG213" s="28"/>
      <c r="CAH213" s="28"/>
      <c r="CAI213" s="28"/>
      <c r="CAJ213" s="28"/>
      <c r="CAK213" s="28"/>
      <c r="CAL213" s="28"/>
      <c r="CAM213" s="28"/>
      <c r="CAN213" s="28"/>
      <c r="CAO213" s="28"/>
      <c r="CAP213" s="28"/>
      <c r="CAQ213" s="28"/>
      <c r="CAR213" s="28"/>
      <c r="CAS213" s="28"/>
      <c r="CAT213" s="28"/>
      <c r="CAU213" s="28"/>
      <c r="CAV213" s="28"/>
      <c r="CAW213" s="28"/>
      <c r="CAX213" s="28"/>
      <c r="CAY213" s="28"/>
      <c r="CAZ213" s="28"/>
      <c r="CBA213" s="28"/>
      <c r="CBB213" s="28"/>
      <c r="CBC213" s="28"/>
      <c r="CBD213" s="28"/>
      <c r="CBE213" s="28"/>
      <c r="CBF213" s="28"/>
      <c r="CBG213" s="28"/>
      <c r="CBH213" s="28"/>
      <c r="CBI213" s="28"/>
      <c r="CBJ213" s="28"/>
      <c r="CBK213" s="28"/>
      <c r="CBL213" s="28"/>
      <c r="CBM213" s="28"/>
      <c r="CBN213" s="28"/>
      <c r="CBO213" s="28"/>
      <c r="CBP213" s="28"/>
      <c r="CBQ213" s="28"/>
      <c r="CBR213" s="28"/>
      <c r="CBS213" s="28"/>
      <c r="CBT213" s="28"/>
      <c r="CBU213" s="28"/>
      <c r="CBV213" s="28"/>
      <c r="CBW213" s="28"/>
      <c r="CBX213" s="28"/>
      <c r="CBY213" s="28"/>
      <c r="CBZ213" s="28"/>
      <c r="CCA213" s="28"/>
      <c r="CCB213" s="28"/>
      <c r="CCC213" s="28"/>
      <c r="CCD213" s="28"/>
      <c r="CCE213" s="28"/>
      <c r="CCF213" s="28"/>
      <c r="CCG213" s="28"/>
      <c r="CCH213" s="28"/>
      <c r="CCI213" s="28"/>
      <c r="CCJ213" s="28"/>
      <c r="CCK213" s="28"/>
      <c r="CCL213" s="28"/>
      <c r="CCM213" s="28"/>
      <c r="CCN213" s="28"/>
      <c r="CCO213" s="28"/>
      <c r="CCP213" s="28"/>
      <c r="CCQ213" s="28"/>
      <c r="CCR213" s="28"/>
      <c r="CCS213" s="28"/>
      <c r="CCT213" s="28"/>
      <c r="CCU213" s="28"/>
      <c r="CCV213" s="28"/>
      <c r="CCW213" s="28"/>
      <c r="CCX213" s="28"/>
      <c r="CCY213" s="28"/>
      <c r="CCZ213" s="28"/>
      <c r="CDA213" s="28"/>
      <c r="CDB213" s="28"/>
      <c r="CDC213" s="28"/>
      <c r="CDD213" s="28"/>
      <c r="CDE213" s="28"/>
      <c r="CDF213" s="28"/>
      <c r="CDG213" s="28"/>
      <c r="CDH213" s="28"/>
      <c r="CDI213" s="28"/>
      <c r="CDJ213" s="28"/>
      <c r="CDK213" s="28"/>
      <c r="CDL213" s="28"/>
      <c r="CDM213" s="28"/>
      <c r="CDN213" s="28"/>
      <c r="CDO213" s="28"/>
      <c r="CDP213" s="28"/>
      <c r="CDQ213" s="28"/>
      <c r="CDR213" s="28"/>
      <c r="CDS213" s="28"/>
      <c r="CDT213" s="28"/>
      <c r="CDU213" s="28"/>
      <c r="CDV213" s="28"/>
      <c r="CDW213" s="28"/>
      <c r="CDX213" s="28"/>
      <c r="CDY213" s="28"/>
      <c r="CDZ213" s="28"/>
      <c r="CEA213" s="28"/>
      <c r="CEB213" s="28"/>
      <c r="CEC213" s="28"/>
      <c r="CED213" s="28"/>
      <c r="CEE213" s="28"/>
      <c r="CEF213" s="28"/>
      <c r="CEG213" s="28"/>
      <c r="CEH213" s="28"/>
      <c r="CEI213" s="28"/>
      <c r="CEJ213" s="28"/>
      <c r="CEK213" s="28"/>
      <c r="CEL213" s="28"/>
      <c r="CEM213" s="28"/>
      <c r="CEN213" s="28"/>
      <c r="CEO213" s="28"/>
      <c r="CEP213" s="28"/>
      <c r="CEQ213" s="28"/>
      <c r="CER213" s="28"/>
      <c r="CES213" s="28"/>
      <c r="CET213" s="28"/>
      <c r="CEU213" s="28"/>
      <c r="CEV213" s="28"/>
      <c r="CEW213" s="28"/>
      <c r="CEX213" s="28"/>
      <c r="CEY213" s="28"/>
      <c r="CEZ213" s="28"/>
      <c r="CFA213" s="28"/>
      <c r="CFB213" s="28"/>
      <c r="CFC213" s="28"/>
      <c r="CFD213" s="28"/>
      <c r="CFE213" s="28"/>
      <c r="CFF213" s="28"/>
      <c r="CFG213" s="28"/>
      <c r="CFH213" s="28"/>
      <c r="CFI213" s="28"/>
      <c r="CFJ213" s="28"/>
      <c r="CFK213" s="28"/>
      <c r="CFL213" s="28"/>
      <c r="CFM213" s="28"/>
      <c r="CFN213" s="28"/>
      <c r="CFO213" s="28"/>
      <c r="CFP213" s="28"/>
      <c r="CFQ213" s="28"/>
      <c r="CFR213" s="28"/>
      <c r="CFS213" s="28"/>
      <c r="CFT213" s="28"/>
      <c r="CFU213" s="28"/>
      <c r="CFV213" s="28"/>
      <c r="CFW213" s="28"/>
      <c r="CFX213" s="28"/>
      <c r="CFY213" s="28"/>
      <c r="CFZ213" s="28"/>
      <c r="CGA213" s="28"/>
      <c r="CGB213" s="28"/>
      <c r="CGC213" s="28"/>
      <c r="CGD213" s="28"/>
      <c r="CGE213" s="28"/>
      <c r="CGF213" s="28"/>
      <c r="CGG213" s="28"/>
      <c r="CGH213" s="28"/>
      <c r="CGI213" s="28"/>
      <c r="CGJ213" s="28"/>
      <c r="CGK213" s="28"/>
      <c r="CGL213" s="28"/>
      <c r="CGM213" s="28"/>
      <c r="CGN213" s="28"/>
      <c r="CGO213" s="28"/>
      <c r="CGP213" s="28"/>
      <c r="CGQ213" s="28"/>
      <c r="CGR213" s="28"/>
      <c r="CGS213" s="28"/>
      <c r="CGT213" s="28"/>
      <c r="CGU213" s="28"/>
      <c r="CGV213" s="28"/>
      <c r="CGW213" s="28"/>
      <c r="CGX213" s="28"/>
      <c r="CGY213" s="28"/>
      <c r="CGZ213" s="28"/>
      <c r="CHA213" s="28"/>
      <c r="CHB213" s="28"/>
      <c r="CHC213" s="28"/>
      <c r="CHD213" s="28"/>
      <c r="CHE213" s="28"/>
      <c r="CHF213" s="28"/>
      <c r="CHG213" s="28"/>
      <c r="CHH213" s="28"/>
      <c r="CHI213" s="28"/>
      <c r="CHJ213" s="28"/>
      <c r="CHK213" s="28"/>
      <c r="CHL213" s="28"/>
      <c r="CHM213" s="28"/>
      <c r="CHN213" s="28"/>
      <c r="CHO213" s="28"/>
      <c r="CHP213" s="28"/>
      <c r="CHQ213" s="28"/>
      <c r="CHR213" s="28"/>
      <c r="CHS213" s="28"/>
      <c r="CHT213" s="28"/>
      <c r="CHU213" s="28"/>
      <c r="CHV213" s="28"/>
      <c r="CHW213" s="28"/>
      <c r="CHX213" s="28"/>
      <c r="CHY213" s="28"/>
      <c r="CHZ213" s="28"/>
      <c r="CIA213" s="28"/>
      <c r="CIB213" s="28"/>
      <c r="CIC213" s="28"/>
      <c r="CID213" s="28"/>
      <c r="CIE213" s="28"/>
      <c r="CIF213" s="28"/>
      <c r="CIG213" s="28"/>
      <c r="CIH213" s="28"/>
      <c r="CII213" s="28"/>
      <c r="CIJ213" s="28"/>
      <c r="CIK213" s="28"/>
      <c r="CIL213" s="28"/>
      <c r="CIM213" s="28"/>
      <c r="CIN213" s="28"/>
      <c r="CIO213" s="28"/>
      <c r="CIP213" s="28"/>
      <c r="CIQ213" s="28"/>
      <c r="CIR213" s="28"/>
      <c r="CIS213" s="28"/>
      <c r="CIT213" s="28"/>
      <c r="CIU213" s="28"/>
      <c r="CIV213" s="28"/>
      <c r="CIW213" s="28"/>
      <c r="CIX213" s="28"/>
      <c r="CIY213" s="28"/>
      <c r="CIZ213" s="28"/>
      <c r="CJA213" s="28"/>
      <c r="CJB213" s="28"/>
      <c r="CJC213" s="28"/>
      <c r="CJD213" s="28"/>
      <c r="CJE213" s="28"/>
      <c r="CJF213" s="28"/>
      <c r="CJG213" s="28"/>
      <c r="CJH213" s="28"/>
      <c r="CJI213" s="28"/>
      <c r="CJJ213" s="28"/>
      <c r="CJK213" s="28"/>
      <c r="CJL213" s="28"/>
      <c r="CJM213" s="28"/>
      <c r="CJN213" s="28"/>
      <c r="CJO213" s="28"/>
      <c r="CJP213" s="28"/>
      <c r="CJQ213" s="28"/>
      <c r="CJR213" s="28"/>
      <c r="CJS213" s="28"/>
      <c r="CJT213" s="28"/>
      <c r="CJU213" s="28"/>
      <c r="CJV213" s="28"/>
      <c r="CJW213" s="28"/>
      <c r="CJX213" s="28"/>
      <c r="CJY213" s="28"/>
      <c r="CJZ213" s="28"/>
      <c r="CKA213" s="28"/>
      <c r="CKB213" s="28"/>
      <c r="CKC213" s="28"/>
      <c r="CKD213" s="28"/>
      <c r="CKE213" s="28"/>
      <c r="CKF213" s="28"/>
      <c r="CKG213" s="28"/>
      <c r="CKH213" s="28"/>
      <c r="CKI213" s="28"/>
      <c r="CKJ213" s="28"/>
      <c r="CKK213" s="28"/>
      <c r="CKL213" s="28"/>
      <c r="CKM213" s="28"/>
      <c r="CKN213" s="28"/>
      <c r="CKO213" s="28"/>
      <c r="CKP213" s="28"/>
      <c r="CKQ213" s="28"/>
      <c r="CKR213" s="28"/>
      <c r="CKS213" s="28"/>
      <c r="CKT213" s="28"/>
      <c r="CKU213" s="28"/>
      <c r="CKV213" s="28"/>
      <c r="CKW213" s="28"/>
      <c r="CKX213" s="28"/>
      <c r="CKY213" s="28"/>
      <c r="CKZ213" s="28"/>
      <c r="CLA213" s="28"/>
      <c r="CLB213" s="28"/>
      <c r="CLC213" s="28"/>
      <c r="CLD213" s="28"/>
      <c r="CLE213" s="28"/>
      <c r="CLF213" s="28"/>
      <c r="CLG213" s="28"/>
      <c r="CLH213" s="28"/>
      <c r="CLI213" s="28"/>
      <c r="CLJ213" s="28"/>
      <c r="CLK213" s="28"/>
      <c r="CLL213" s="28"/>
      <c r="CLM213" s="28"/>
      <c r="CLN213" s="28"/>
      <c r="CLO213" s="28"/>
      <c r="CLP213" s="28"/>
      <c r="CLQ213" s="28"/>
      <c r="CLR213" s="28"/>
      <c r="CLS213" s="28"/>
      <c r="CLT213" s="28"/>
      <c r="CLU213" s="28"/>
      <c r="CLV213" s="28"/>
      <c r="CLW213" s="28"/>
      <c r="CLX213" s="28"/>
      <c r="CLY213" s="28"/>
      <c r="CLZ213" s="28"/>
      <c r="CMA213" s="28"/>
      <c r="CMB213" s="28"/>
      <c r="CMC213" s="28"/>
      <c r="CMD213" s="28"/>
      <c r="CME213" s="28"/>
      <c r="CMF213" s="28"/>
      <c r="CMG213" s="28"/>
      <c r="CMH213" s="28"/>
      <c r="CMI213" s="28"/>
      <c r="CMJ213" s="28"/>
      <c r="CMK213" s="28"/>
      <c r="CML213" s="28"/>
      <c r="CMM213" s="28"/>
      <c r="CMN213" s="28"/>
      <c r="CMO213" s="28"/>
      <c r="CMP213" s="28"/>
      <c r="CMQ213" s="28"/>
      <c r="CMR213" s="28"/>
      <c r="CMS213" s="28"/>
      <c r="CMT213" s="28"/>
      <c r="CMU213" s="28"/>
      <c r="CMV213" s="28"/>
      <c r="CMW213" s="28"/>
      <c r="CMX213" s="28"/>
      <c r="CMY213" s="28"/>
      <c r="CMZ213" s="28"/>
      <c r="CNA213" s="28"/>
      <c r="CNB213" s="28"/>
      <c r="CNC213" s="28"/>
      <c r="CND213" s="28"/>
      <c r="CNE213" s="28"/>
      <c r="CNF213" s="28"/>
      <c r="CNG213" s="28"/>
      <c r="CNH213" s="28"/>
      <c r="CNI213" s="28"/>
      <c r="CNJ213" s="28"/>
      <c r="CNK213" s="28"/>
      <c r="CNL213" s="28"/>
      <c r="CNM213" s="28"/>
      <c r="CNN213" s="28"/>
      <c r="CNO213" s="28"/>
      <c r="CNP213" s="28"/>
      <c r="CNQ213" s="28"/>
      <c r="CNR213" s="28"/>
      <c r="CNS213" s="28"/>
      <c r="CNT213" s="28"/>
      <c r="CNU213" s="28"/>
      <c r="CNV213" s="28"/>
      <c r="CNW213" s="28"/>
      <c r="CNX213" s="28"/>
      <c r="CNY213" s="28"/>
      <c r="CNZ213" s="28"/>
      <c r="COA213" s="28"/>
      <c r="COB213" s="28"/>
      <c r="COC213" s="28"/>
      <c r="COD213" s="28"/>
      <c r="COE213" s="28"/>
      <c r="COF213" s="28"/>
      <c r="COG213" s="28"/>
      <c r="COH213" s="28"/>
      <c r="COI213" s="28"/>
      <c r="COJ213" s="28"/>
      <c r="COK213" s="28"/>
      <c r="COL213" s="28"/>
      <c r="COM213" s="28"/>
      <c r="CON213" s="28"/>
      <c r="COO213" s="28"/>
      <c r="COP213" s="28"/>
      <c r="COQ213" s="28"/>
      <c r="COR213" s="28"/>
      <c r="COS213" s="28"/>
      <c r="COT213" s="28"/>
      <c r="COU213" s="28"/>
      <c r="COV213" s="28"/>
      <c r="COW213" s="28"/>
      <c r="COX213" s="28"/>
      <c r="COY213" s="28"/>
      <c r="COZ213" s="28"/>
      <c r="CPA213" s="28"/>
      <c r="CPB213" s="28"/>
      <c r="CPC213" s="28"/>
      <c r="CPD213" s="28"/>
      <c r="CPE213" s="28"/>
      <c r="CPF213" s="28"/>
      <c r="CPG213" s="28"/>
      <c r="CPH213" s="28"/>
      <c r="CPI213" s="28"/>
      <c r="CPJ213" s="28"/>
      <c r="CPK213" s="28"/>
      <c r="CPL213" s="28"/>
      <c r="CPM213" s="28"/>
      <c r="CPN213" s="28"/>
      <c r="CPO213" s="28"/>
      <c r="CPP213" s="28"/>
      <c r="CPQ213" s="28"/>
      <c r="CPR213" s="28"/>
      <c r="CPS213" s="28"/>
      <c r="CPT213" s="28"/>
      <c r="CPU213" s="28"/>
      <c r="CPV213" s="28"/>
      <c r="CPW213" s="28"/>
      <c r="CPX213" s="28"/>
      <c r="CPY213" s="28"/>
      <c r="CPZ213" s="28"/>
      <c r="CQA213" s="28"/>
      <c r="CQB213" s="28"/>
      <c r="CQC213" s="28"/>
      <c r="CQD213" s="28"/>
      <c r="CQE213" s="28"/>
      <c r="CQF213" s="28"/>
      <c r="CQG213" s="28"/>
      <c r="CQH213" s="28"/>
      <c r="CQI213" s="28"/>
      <c r="CQJ213" s="28"/>
      <c r="CQK213" s="28"/>
      <c r="CQL213" s="28"/>
      <c r="CQM213" s="28"/>
      <c r="CQN213" s="28"/>
      <c r="CQO213" s="28"/>
      <c r="CQP213" s="28"/>
      <c r="CQQ213" s="28"/>
      <c r="CQR213" s="28"/>
      <c r="CQS213" s="28"/>
      <c r="CQT213" s="28"/>
      <c r="CQU213" s="28"/>
      <c r="CQV213" s="28"/>
      <c r="CQW213" s="28"/>
      <c r="CQX213" s="28"/>
      <c r="CQY213" s="28"/>
      <c r="CQZ213" s="28"/>
      <c r="CRA213" s="28"/>
      <c r="CRB213" s="28"/>
      <c r="CRC213" s="28"/>
      <c r="CRD213" s="28"/>
      <c r="CRE213" s="28"/>
      <c r="CRF213" s="28"/>
      <c r="CRG213" s="28"/>
      <c r="CRH213" s="28"/>
      <c r="CRI213" s="28"/>
      <c r="CRJ213" s="28"/>
      <c r="CRK213" s="28"/>
      <c r="CRL213" s="28"/>
      <c r="CRM213" s="28"/>
      <c r="CRN213" s="28"/>
      <c r="CRO213" s="28"/>
      <c r="CRP213" s="28"/>
      <c r="CRQ213" s="28"/>
      <c r="CRR213" s="28"/>
      <c r="CRS213" s="28"/>
      <c r="CRT213" s="28"/>
      <c r="CRU213" s="28"/>
      <c r="CRV213" s="28"/>
      <c r="CRW213" s="28"/>
      <c r="CRX213" s="28"/>
      <c r="CRY213" s="28"/>
      <c r="CRZ213" s="28"/>
      <c r="CSA213" s="28"/>
      <c r="CSB213" s="28"/>
      <c r="CSC213" s="28"/>
      <c r="CSD213" s="28"/>
      <c r="CSE213" s="28"/>
      <c r="CSF213" s="28"/>
      <c r="CSG213" s="28"/>
      <c r="CSH213" s="28"/>
      <c r="CSI213" s="28"/>
      <c r="CSJ213" s="28"/>
      <c r="CSK213" s="28"/>
      <c r="CSL213" s="28"/>
      <c r="CSM213" s="28"/>
      <c r="CSN213" s="28"/>
      <c r="CSO213" s="28"/>
      <c r="CSP213" s="28"/>
      <c r="CSQ213" s="28"/>
      <c r="CSR213" s="28"/>
      <c r="CSS213" s="28"/>
      <c r="CST213" s="28"/>
      <c r="CSU213" s="28"/>
      <c r="CSV213" s="28"/>
      <c r="CSW213" s="28"/>
      <c r="CSX213" s="28"/>
      <c r="CSY213" s="28"/>
      <c r="CSZ213" s="28"/>
      <c r="CTA213" s="28"/>
      <c r="CTB213" s="28"/>
      <c r="CTC213" s="28"/>
      <c r="CTD213" s="28"/>
      <c r="CTE213" s="28"/>
      <c r="CTF213" s="28"/>
      <c r="CTG213" s="28"/>
      <c r="CTH213" s="28"/>
      <c r="CTI213" s="28"/>
      <c r="CTJ213" s="28"/>
      <c r="CTK213" s="28"/>
      <c r="CTL213" s="28"/>
      <c r="CTM213" s="28"/>
      <c r="CTN213" s="28"/>
      <c r="CTO213" s="28"/>
      <c r="CTP213" s="28"/>
      <c r="CTQ213" s="28"/>
      <c r="CTR213" s="28"/>
      <c r="CTS213" s="28"/>
      <c r="CTT213" s="28"/>
      <c r="CTU213" s="28"/>
      <c r="CTV213" s="28"/>
      <c r="CTW213" s="28"/>
      <c r="CTX213" s="28"/>
      <c r="CTY213" s="28"/>
      <c r="CTZ213" s="28"/>
      <c r="CUA213" s="28"/>
      <c r="CUB213" s="28"/>
      <c r="CUC213" s="28"/>
      <c r="CUD213" s="28"/>
      <c r="CUE213" s="28"/>
      <c r="CUF213" s="28"/>
      <c r="CUG213" s="28"/>
      <c r="CUH213" s="28"/>
      <c r="CUI213" s="28"/>
      <c r="CUJ213" s="28"/>
      <c r="CUK213" s="28"/>
      <c r="CUL213" s="28"/>
      <c r="CUM213" s="28"/>
      <c r="CUN213" s="28"/>
      <c r="CUO213" s="28"/>
      <c r="CUP213" s="28"/>
      <c r="CUQ213" s="28"/>
      <c r="CUR213" s="28"/>
      <c r="CUS213" s="28"/>
      <c r="CUT213" s="28"/>
      <c r="CUU213" s="28"/>
      <c r="CUV213" s="28"/>
      <c r="CUW213" s="28"/>
      <c r="CUX213" s="28"/>
      <c r="CUY213" s="28"/>
      <c r="CUZ213" s="28"/>
      <c r="CVA213" s="28"/>
      <c r="CVB213" s="28"/>
      <c r="CVC213" s="28"/>
      <c r="CVD213" s="28"/>
      <c r="CVE213" s="28"/>
      <c r="CVF213" s="28"/>
      <c r="CVG213" s="28"/>
      <c r="CVH213" s="28"/>
      <c r="CVI213" s="28"/>
      <c r="CVJ213" s="28"/>
      <c r="CVK213" s="28"/>
      <c r="CVL213" s="28"/>
      <c r="CVM213" s="28"/>
      <c r="CVN213" s="28"/>
      <c r="CVO213" s="28"/>
      <c r="CVP213" s="28"/>
      <c r="CVQ213" s="28"/>
      <c r="CVR213" s="28"/>
      <c r="CVS213" s="28"/>
      <c r="CVT213" s="28"/>
      <c r="CVU213" s="28"/>
      <c r="CVV213" s="28"/>
      <c r="CVW213" s="28"/>
      <c r="CVX213" s="28"/>
      <c r="CVY213" s="28"/>
      <c r="CVZ213" s="28"/>
      <c r="CWA213" s="28"/>
      <c r="CWB213" s="28"/>
      <c r="CWC213" s="28"/>
      <c r="CWD213" s="28"/>
      <c r="CWE213" s="28"/>
      <c r="CWF213" s="28"/>
      <c r="CWG213" s="28"/>
      <c r="CWH213" s="28"/>
      <c r="CWI213" s="28"/>
      <c r="CWJ213" s="28"/>
      <c r="CWK213" s="28"/>
      <c r="CWL213" s="28"/>
      <c r="CWM213" s="28"/>
      <c r="CWN213" s="28"/>
      <c r="CWO213" s="28"/>
      <c r="CWP213" s="28"/>
      <c r="CWQ213" s="28"/>
      <c r="CWR213" s="28"/>
      <c r="CWS213" s="28"/>
      <c r="CWT213" s="28"/>
      <c r="CWU213" s="28"/>
      <c r="CWV213" s="28"/>
      <c r="CWW213" s="28"/>
      <c r="CWX213" s="28"/>
      <c r="CWY213" s="28"/>
      <c r="CWZ213" s="28"/>
      <c r="CXA213" s="28"/>
      <c r="CXB213" s="28"/>
      <c r="CXC213" s="28"/>
      <c r="CXD213" s="28"/>
      <c r="CXE213" s="28"/>
      <c r="CXF213" s="28"/>
      <c r="CXG213" s="28"/>
      <c r="CXH213" s="28"/>
      <c r="CXI213" s="28"/>
      <c r="CXJ213" s="28"/>
      <c r="CXK213" s="28"/>
      <c r="CXL213" s="28"/>
      <c r="CXM213" s="28"/>
      <c r="CXN213" s="28"/>
      <c r="CXO213" s="28"/>
      <c r="CXP213" s="28"/>
      <c r="CXQ213" s="28"/>
      <c r="CXR213" s="28"/>
      <c r="CXS213" s="28"/>
      <c r="CXT213" s="28"/>
      <c r="CXU213" s="28"/>
      <c r="CXV213" s="28"/>
      <c r="CXW213" s="28"/>
      <c r="CXX213" s="28"/>
      <c r="CXY213" s="28"/>
      <c r="CXZ213" s="28"/>
      <c r="CYA213" s="28"/>
      <c r="CYB213" s="28"/>
      <c r="CYC213" s="28"/>
      <c r="CYD213" s="28"/>
      <c r="CYE213" s="28"/>
      <c r="CYF213" s="28"/>
      <c r="CYG213" s="28"/>
      <c r="CYH213" s="28"/>
      <c r="CYI213" s="28"/>
      <c r="CYJ213" s="28"/>
      <c r="CYK213" s="28"/>
      <c r="CYL213" s="28"/>
      <c r="CYM213" s="28"/>
      <c r="CYN213" s="28"/>
      <c r="CYO213" s="28"/>
      <c r="CYP213" s="28"/>
      <c r="CYQ213" s="28"/>
      <c r="CYR213" s="28"/>
      <c r="CYS213" s="28"/>
      <c r="CYT213" s="28"/>
      <c r="CYU213" s="28"/>
      <c r="CYV213" s="28"/>
      <c r="CYW213" s="28"/>
      <c r="CYX213" s="28"/>
      <c r="CYY213" s="28"/>
      <c r="CYZ213" s="28"/>
      <c r="CZA213" s="28"/>
      <c r="CZB213" s="28"/>
      <c r="CZC213" s="28"/>
      <c r="CZD213" s="28"/>
      <c r="CZE213" s="28"/>
      <c r="CZF213" s="28"/>
      <c r="CZG213" s="28"/>
      <c r="CZH213" s="28"/>
      <c r="CZI213" s="28"/>
      <c r="CZJ213" s="28"/>
      <c r="CZK213" s="28"/>
      <c r="CZL213" s="28"/>
      <c r="CZM213" s="28"/>
      <c r="CZN213" s="28"/>
      <c r="CZO213" s="28"/>
      <c r="CZP213" s="28"/>
      <c r="CZQ213" s="28"/>
      <c r="CZR213" s="28"/>
      <c r="CZS213" s="28"/>
      <c r="CZT213" s="28"/>
      <c r="CZU213" s="28"/>
      <c r="CZV213" s="28"/>
      <c r="CZW213" s="28"/>
      <c r="CZX213" s="28"/>
      <c r="CZY213" s="28"/>
      <c r="CZZ213" s="28"/>
      <c r="DAA213" s="28"/>
      <c r="DAB213" s="28"/>
      <c r="DAC213" s="28"/>
      <c r="DAD213" s="28"/>
      <c r="DAE213" s="28"/>
      <c r="DAF213" s="28"/>
      <c r="DAG213" s="28"/>
      <c r="DAH213" s="28"/>
      <c r="DAI213" s="28"/>
      <c r="DAJ213" s="28"/>
      <c r="DAK213" s="28"/>
      <c r="DAL213" s="28"/>
      <c r="DAM213" s="28"/>
      <c r="DAN213" s="28"/>
      <c r="DAO213" s="28"/>
      <c r="DAP213" s="28"/>
      <c r="DAQ213" s="28"/>
      <c r="DAR213" s="28"/>
      <c r="DAS213" s="28"/>
      <c r="DAT213" s="28"/>
      <c r="DAU213" s="28"/>
      <c r="DAV213" s="28"/>
      <c r="DAW213" s="28"/>
      <c r="DAX213" s="28"/>
      <c r="DAY213" s="28"/>
      <c r="DAZ213" s="28"/>
      <c r="DBA213" s="28"/>
      <c r="DBB213" s="28"/>
      <c r="DBC213" s="28"/>
      <c r="DBD213" s="28"/>
      <c r="DBE213" s="28"/>
      <c r="DBF213" s="28"/>
      <c r="DBG213" s="28"/>
      <c r="DBH213" s="28"/>
      <c r="DBI213" s="28"/>
      <c r="DBJ213" s="28"/>
      <c r="DBK213" s="28"/>
      <c r="DBL213" s="28"/>
      <c r="DBM213" s="28"/>
      <c r="DBN213" s="28"/>
      <c r="DBO213" s="28"/>
      <c r="DBP213" s="28"/>
      <c r="DBQ213" s="28"/>
      <c r="DBR213" s="28"/>
      <c r="DBS213" s="28"/>
      <c r="DBT213" s="28"/>
      <c r="DBU213" s="28"/>
      <c r="DBV213" s="28"/>
      <c r="DBW213" s="28"/>
      <c r="DBX213" s="28"/>
      <c r="DBY213" s="28"/>
      <c r="DBZ213" s="28"/>
      <c r="DCA213" s="28"/>
      <c r="DCB213" s="28"/>
      <c r="DCC213" s="28"/>
      <c r="DCD213" s="28"/>
      <c r="DCE213" s="28"/>
      <c r="DCF213" s="28"/>
      <c r="DCG213" s="28"/>
      <c r="DCH213" s="28"/>
      <c r="DCI213" s="28"/>
      <c r="DCJ213" s="28"/>
      <c r="DCK213" s="28"/>
      <c r="DCL213" s="28"/>
      <c r="DCM213" s="28"/>
      <c r="DCN213" s="28"/>
      <c r="DCO213" s="28"/>
      <c r="DCP213" s="28"/>
      <c r="DCQ213" s="28"/>
      <c r="DCR213" s="28"/>
      <c r="DCS213" s="28"/>
      <c r="DCT213" s="28"/>
      <c r="DCU213" s="28"/>
      <c r="DCV213" s="28"/>
      <c r="DCW213" s="28"/>
      <c r="DCX213" s="28"/>
      <c r="DCY213" s="28"/>
      <c r="DCZ213" s="28"/>
      <c r="DDA213" s="28"/>
      <c r="DDB213" s="28"/>
      <c r="DDC213" s="28"/>
      <c r="DDD213" s="28"/>
      <c r="DDE213" s="28"/>
      <c r="DDF213" s="28"/>
      <c r="DDG213" s="28"/>
      <c r="DDH213" s="28"/>
      <c r="DDI213" s="28"/>
      <c r="DDJ213" s="28"/>
      <c r="DDK213" s="28"/>
      <c r="DDL213" s="28"/>
      <c r="DDM213" s="28"/>
      <c r="DDN213" s="28"/>
      <c r="DDO213" s="28"/>
      <c r="DDP213" s="28"/>
      <c r="DDQ213" s="28"/>
      <c r="DDR213" s="28"/>
      <c r="DDS213" s="28"/>
      <c r="DDT213" s="28"/>
      <c r="DDU213" s="28"/>
      <c r="DDV213" s="28"/>
      <c r="DDW213" s="28"/>
      <c r="DDX213" s="28"/>
      <c r="DDY213" s="28"/>
      <c r="DDZ213" s="28"/>
      <c r="DEA213" s="28"/>
      <c r="DEB213" s="28"/>
      <c r="DEC213" s="28"/>
      <c r="DED213" s="28"/>
      <c r="DEE213" s="28"/>
      <c r="DEF213" s="28"/>
      <c r="DEG213" s="28"/>
      <c r="DEH213" s="28"/>
      <c r="DEI213" s="28"/>
      <c r="DEJ213" s="28"/>
      <c r="DEK213" s="28"/>
      <c r="DEL213" s="28"/>
      <c r="DEM213" s="28"/>
      <c r="DEN213" s="28"/>
      <c r="DEO213" s="28"/>
      <c r="DEP213" s="28"/>
      <c r="DEQ213" s="28"/>
      <c r="DER213" s="28"/>
      <c r="DES213" s="28"/>
      <c r="DET213" s="28"/>
      <c r="DEU213" s="28"/>
      <c r="DEV213" s="28"/>
      <c r="DEW213" s="28"/>
      <c r="DEX213" s="28"/>
      <c r="DEY213" s="28"/>
      <c r="DEZ213" s="28"/>
      <c r="DFA213" s="28"/>
      <c r="DFB213" s="28"/>
      <c r="DFC213" s="28"/>
      <c r="DFD213" s="28"/>
      <c r="DFE213" s="28"/>
      <c r="DFF213" s="28"/>
      <c r="DFG213" s="28"/>
      <c r="DFH213" s="28"/>
      <c r="DFI213" s="28"/>
      <c r="DFJ213" s="28"/>
      <c r="DFK213" s="28"/>
      <c r="DFL213" s="28"/>
      <c r="DFM213" s="28"/>
      <c r="DFN213" s="28"/>
      <c r="DFO213" s="28"/>
      <c r="DFP213" s="28"/>
      <c r="DFQ213" s="28"/>
      <c r="DFR213" s="28"/>
      <c r="DFS213" s="28"/>
      <c r="DFT213" s="28"/>
      <c r="DFU213" s="28"/>
      <c r="DFV213" s="28"/>
      <c r="DFW213" s="28"/>
      <c r="DFX213" s="28"/>
      <c r="DFY213" s="28"/>
      <c r="DFZ213" s="28"/>
      <c r="DGA213" s="28"/>
      <c r="DGB213" s="28"/>
      <c r="DGC213" s="28"/>
      <c r="DGD213" s="28"/>
      <c r="DGE213" s="28"/>
      <c r="DGF213" s="28"/>
      <c r="DGG213" s="28"/>
      <c r="DGH213" s="28"/>
      <c r="DGI213" s="28"/>
      <c r="DGJ213" s="28"/>
      <c r="DGK213" s="28"/>
      <c r="DGL213" s="28"/>
      <c r="DGM213" s="28"/>
      <c r="DGN213" s="28"/>
      <c r="DGO213" s="28"/>
      <c r="DGP213" s="28"/>
      <c r="DGQ213" s="28"/>
      <c r="DGR213" s="28"/>
      <c r="DGS213" s="28"/>
      <c r="DGT213" s="28"/>
      <c r="DGU213" s="28"/>
      <c r="DGV213" s="28"/>
      <c r="DGW213" s="28"/>
      <c r="DGX213" s="28"/>
      <c r="DGY213" s="28"/>
      <c r="DGZ213" s="28"/>
      <c r="DHA213" s="28"/>
      <c r="DHB213" s="28"/>
      <c r="DHC213" s="28"/>
      <c r="DHD213" s="28"/>
      <c r="DHE213" s="28"/>
      <c r="DHF213" s="28"/>
      <c r="DHG213" s="28"/>
      <c r="DHH213" s="28"/>
      <c r="DHI213" s="28"/>
      <c r="DHJ213" s="28"/>
      <c r="DHK213" s="28"/>
      <c r="DHL213" s="28"/>
      <c r="DHM213" s="28"/>
      <c r="DHN213" s="28"/>
      <c r="DHO213" s="28"/>
      <c r="DHP213" s="28"/>
      <c r="DHQ213" s="28"/>
      <c r="DHR213" s="28"/>
      <c r="DHS213" s="28"/>
      <c r="DHT213" s="28"/>
      <c r="DHU213" s="28"/>
      <c r="DHV213" s="28"/>
      <c r="DHW213" s="28"/>
      <c r="DHX213" s="28"/>
      <c r="DHY213" s="28"/>
      <c r="DHZ213" s="28"/>
      <c r="DIA213" s="28"/>
      <c r="DIB213" s="28"/>
      <c r="DIC213" s="28"/>
      <c r="DID213" s="28"/>
      <c r="DIE213" s="28"/>
      <c r="DIF213" s="28"/>
      <c r="DIG213" s="28"/>
      <c r="DIH213" s="28"/>
      <c r="DII213" s="28"/>
      <c r="DIJ213" s="28"/>
      <c r="DIK213" s="28"/>
      <c r="DIL213" s="28"/>
      <c r="DIM213" s="28"/>
      <c r="DIN213" s="28"/>
      <c r="DIO213" s="28"/>
      <c r="DIP213" s="28"/>
      <c r="DIQ213" s="28"/>
      <c r="DIR213" s="28"/>
      <c r="DIS213" s="28"/>
      <c r="DIT213" s="28"/>
      <c r="DIU213" s="28"/>
      <c r="DIV213" s="28"/>
      <c r="DIW213" s="28"/>
      <c r="DIX213" s="28"/>
      <c r="DIY213" s="28"/>
      <c r="DIZ213" s="28"/>
      <c r="DJA213" s="28"/>
      <c r="DJB213" s="28"/>
      <c r="DJC213" s="28"/>
      <c r="DJD213" s="28"/>
      <c r="DJE213" s="28"/>
      <c r="DJF213" s="28"/>
      <c r="DJG213" s="28"/>
      <c r="DJH213" s="28"/>
      <c r="DJI213" s="28"/>
      <c r="DJJ213" s="28"/>
      <c r="DJK213" s="28"/>
      <c r="DJL213" s="28"/>
      <c r="DJM213" s="28"/>
      <c r="DJN213" s="28"/>
      <c r="DJO213" s="28"/>
      <c r="DJP213" s="28"/>
      <c r="DJQ213" s="28"/>
      <c r="DJR213" s="28"/>
      <c r="DJS213" s="28"/>
      <c r="DJT213" s="28"/>
      <c r="DJU213" s="28"/>
      <c r="DJV213" s="28"/>
      <c r="DJW213" s="28"/>
      <c r="DJX213" s="28"/>
      <c r="DJY213" s="28"/>
      <c r="DJZ213" s="28"/>
      <c r="DKA213" s="28"/>
      <c r="DKB213" s="28"/>
      <c r="DKC213" s="28"/>
      <c r="DKD213" s="28"/>
      <c r="DKE213" s="28"/>
      <c r="DKF213" s="28"/>
      <c r="DKG213" s="28"/>
      <c r="DKH213" s="28"/>
      <c r="DKI213" s="28"/>
      <c r="DKJ213" s="28"/>
      <c r="DKK213" s="28"/>
      <c r="DKL213" s="28"/>
      <c r="DKM213" s="28"/>
      <c r="DKN213" s="28"/>
      <c r="DKO213" s="28"/>
      <c r="DKP213" s="28"/>
      <c r="DKQ213" s="28"/>
      <c r="DKR213" s="28"/>
      <c r="DKS213" s="28"/>
      <c r="DKT213" s="28"/>
      <c r="DKU213" s="28"/>
      <c r="DKV213" s="28"/>
      <c r="DKW213" s="28"/>
      <c r="DKX213" s="28"/>
      <c r="DKY213" s="28"/>
      <c r="DKZ213" s="28"/>
      <c r="DLA213" s="28"/>
      <c r="DLB213" s="28"/>
      <c r="DLC213" s="28"/>
      <c r="DLD213" s="28"/>
      <c r="DLE213" s="28"/>
      <c r="DLF213" s="28"/>
      <c r="DLG213" s="28"/>
      <c r="DLH213" s="28"/>
      <c r="DLI213" s="28"/>
      <c r="DLJ213" s="28"/>
      <c r="DLK213" s="28"/>
      <c r="DLL213" s="28"/>
      <c r="DLM213" s="28"/>
      <c r="DLN213" s="28"/>
      <c r="DLO213" s="28"/>
      <c r="DLP213" s="28"/>
      <c r="DLQ213" s="28"/>
      <c r="DLR213" s="28"/>
      <c r="DLS213" s="28"/>
      <c r="DLT213" s="28"/>
      <c r="DLU213" s="28"/>
      <c r="DLV213" s="28"/>
      <c r="DLW213" s="28"/>
      <c r="DLX213" s="28"/>
      <c r="DLY213" s="28"/>
      <c r="DLZ213" s="28"/>
      <c r="DMA213" s="28"/>
      <c r="DMB213" s="28"/>
      <c r="DMC213" s="28"/>
      <c r="DMD213" s="28"/>
      <c r="DME213" s="28"/>
      <c r="DMF213" s="28"/>
      <c r="DMG213" s="28"/>
      <c r="DMH213" s="28"/>
      <c r="DMI213" s="28"/>
      <c r="DMJ213" s="28"/>
      <c r="DMK213" s="28"/>
      <c r="DML213" s="28"/>
      <c r="DMM213" s="28"/>
      <c r="DMN213" s="28"/>
      <c r="DMO213" s="28"/>
      <c r="DMP213" s="28"/>
      <c r="DMQ213" s="28"/>
      <c r="DMR213" s="28"/>
      <c r="DMS213" s="28"/>
      <c r="DMT213" s="28"/>
      <c r="DMU213" s="28"/>
      <c r="DMV213" s="28"/>
      <c r="DMW213" s="28"/>
      <c r="DMX213" s="28"/>
      <c r="DMY213" s="28"/>
      <c r="DMZ213" s="28"/>
      <c r="DNA213" s="28"/>
      <c r="DNB213" s="28"/>
      <c r="DNC213" s="28"/>
      <c r="DND213" s="28"/>
      <c r="DNE213" s="28"/>
      <c r="DNF213" s="28"/>
      <c r="DNG213" s="28"/>
      <c r="DNH213" s="28"/>
      <c r="DNI213" s="28"/>
      <c r="DNJ213" s="28"/>
      <c r="DNK213" s="28"/>
      <c r="DNL213" s="28"/>
      <c r="DNM213" s="28"/>
      <c r="DNN213" s="28"/>
      <c r="DNO213" s="28"/>
      <c r="DNP213" s="28"/>
      <c r="DNQ213" s="28"/>
      <c r="DNR213" s="28"/>
      <c r="DNS213" s="28"/>
      <c r="DNT213" s="28"/>
      <c r="DNU213" s="28"/>
      <c r="DNV213" s="28"/>
      <c r="DNW213" s="28"/>
      <c r="DNX213" s="28"/>
      <c r="DNY213" s="28"/>
      <c r="DNZ213" s="28"/>
      <c r="DOA213" s="28"/>
      <c r="DOB213" s="28"/>
      <c r="DOC213" s="28"/>
      <c r="DOD213" s="28"/>
      <c r="DOE213" s="28"/>
      <c r="DOF213" s="28"/>
      <c r="DOG213" s="28"/>
      <c r="DOH213" s="28"/>
      <c r="DOI213" s="28"/>
      <c r="DOJ213" s="28"/>
      <c r="DOK213" s="28"/>
      <c r="DOL213" s="28"/>
      <c r="DOM213" s="28"/>
      <c r="DON213" s="28"/>
      <c r="DOO213" s="28"/>
      <c r="DOP213" s="28"/>
      <c r="DOQ213" s="28"/>
      <c r="DOR213" s="28"/>
      <c r="DOS213" s="28"/>
      <c r="DOT213" s="28"/>
      <c r="DOU213" s="28"/>
      <c r="DOV213" s="28"/>
      <c r="DOW213" s="28"/>
      <c r="DOX213" s="28"/>
      <c r="DOY213" s="28"/>
      <c r="DOZ213" s="28"/>
      <c r="DPA213" s="28"/>
      <c r="DPB213" s="28"/>
      <c r="DPC213" s="28"/>
      <c r="DPD213" s="28"/>
      <c r="DPE213" s="28"/>
      <c r="DPF213" s="28"/>
      <c r="DPG213" s="28"/>
      <c r="DPH213" s="28"/>
      <c r="DPI213" s="28"/>
      <c r="DPJ213" s="28"/>
      <c r="DPK213" s="28"/>
      <c r="DPL213" s="28"/>
      <c r="DPM213" s="28"/>
      <c r="DPN213" s="28"/>
      <c r="DPO213" s="28"/>
      <c r="DPP213" s="28"/>
      <c r="DPQ213" s="28"/>
      <c r="DPR213" s="28"/>
      <c r="DPS213" s="28"/>
      <c r="DPT213" s="28"/>
      <c r="DPU213" s="28"/>
      <c r="DPV213" s="28"/>
      <c r="DPW213" s="28"/>
      <c r="DPX213" s="28"/>
      <c r="DPY213" s="28"/>
      <c r="DPZ213" s="28"/>
      <c r="DQA213" s="28"/>
      <c r="DQB213" s="28"/>
      <c r="DQC213" s="28"/>
      <c r="DQD213" s="28"/>
      <c r="DQE213" s="28"/>
      <c r="DQF213" s="28"/>
      <c r="DQG213" s="28"/>
      <c r="DQH213" s="28"/>
      <c r="DQI213" s="28"/>
      <c r="DQJ213" s="28"/>
      <c r="DQK213" s="28"/>
      <c r="DQL213" s="28"/>
      <c r="DQM213" s="28"/>
      <c r="DQN213" s="28"/>
      <c r="DQO213" s="28"/>
      <c r="DQP213" s="28"/>
      <c r="DQQ213" s="28"/>
      <c r="DQR213" s="28"/>
      <c r="DQS213" s="28"/>
      <c r="DQT213" s="28"/>
      <c r="DQU213" s="28"/>
      <c r="DQV213" s="28"/>
      <c r="DQW213" s="28"/>
      <c r="DQX213" s="28"/>
      <c r="DQY213" s="28"/>
      <c r="DQZ213" s="28"/>
      <c r="DRA213" s="28"/>
      <c r="DRB213" s="28"/>
      <c r="DRC213" s="28"/>
      <c r="DRD213" s="28"/>
      <c r="DRE213" s="28"/>
      <c r="DRF213" s="28"/>
      <c r="DRG213" s="28"/>
      <c r="DRH213" s="28"/>
      <c r="DRI213" s="28"/>
      <c r="DRJ213" s="28"/>
      <c r="DRK213" s="28"/>
      <c r="DRL213" s="28"/>
      <c r="DRM213" s="28"/>
      <c r="DRN213" s="28"/>
      <c r="DRO213" s="28"/>
      <c r="DRP213" s="28"/>
      <c r="DRQ213" s="28"/>
      <c r="DRR213" s="28"/>
      <c r="DRS213" s="28"/>
      <c r="DRT213" s="28"/>
      <c r="DRU213" s="28"/>
      <c r="DRV213" s="28"/>
      <c r="DRW213" s="28"/>
      <c r="DRX213" s="28"/>
      <c r="DRY213" s="28"/>
      <c r="DRZ213" s="28"/>
      <c r="DSA213" s="28"/>
      <c r="DSB213" s="28"/>
      <c r="DSC213" s="28"/>
      <c r="DSD213" s="28"/>
      <c r="DSE213" s="28"/>
      <c r="DSF213" s="28"/>
      <c r="DSG213" s="28"/>
      <c r="DSH213" s="28"/>
      <c r="DSI213" s="28"/>
      <c r="DSJ213" s="28"/>
      <c r="DSK213" s="28"/>
      <c r="DSL213" s="28"/>
      <c r="DSM213" s="28"/>
      <c r="DSN213" s="28"/>
      <c r="DSO213" s="28"/>
      <c r="DSP213" s="28"/>
      <c r="DSQ213" s="28"/>
      <c r="DSR213" s="28"/>
      <c r="DSS213" s="28"/>
      <c r="DST213" s="28"/>
      <c r="DSU213" s="28"/>
      <c r="DSV213" s="28"/>
      <c r="DSW213" s="28"/>
      <c r="DSX213" s="28"/>
      <c r="DSY213" s="28"/>
      <c r="DSZ213" s="28"/>
      <c r="DTA213" s="28"/>
      <c r="DTB213" s="28"/>
      <c r="DTC213" s="28"/>
      <c r="DTD213" s="28"/>
      <c r="DTE213" s="28"/>
      <c r="DTF213" s="28"/>
      <c r="DTG213" s="28"/>
      <c r="DTH213" s="28"/>
      <c r="DTI213" s="28"/>
      <c r="DTJ213" s="28"/>
      <c r="DTK213" s="28"/>
      <c r="DTL213" s="28"/>
      <c r="DTM213" s="28"/>
      <c r="DTN213" s="28"/>
      <c r="DTO213" s="28"/>
      <c r="DTP213" s="28"/>
      <c r="DTQ213" s="28"/>
      <c r="DTR213" s="28"/>
      <c r="DTS213" s="28"/>
      <c r="DTT213" s="28"/>
      <c r="DTU213" s="28"/>
      <c r="DTV213" s="28"/>
      <c r="DTW213" s="28"/>
      <c r="DTX213" s="28"/>
      <c r="DTY213" s="28"/>
      <c r="DTZ213" s="28"/>
      <c r="DUA213" s="28"/>
      <c r="DUB213" s="28"/>
      <c r="DUC213" s="28"/>
      <c r="DUD213" s="28"/>
      <c r="DUE213" s="28"/>
      <c r="DUF213" s="28"/>
      <c r="DUG213" s="28"/>
      <c r="DUH213" s="28"/>
      <c r="DUI213" s="28"/>
      <c r="DUJ213" s="28"/>
      <c r="DUK213" s="28"/>
      <c r="DUL213" s="28"/>
      <c r="DUM213" s="28"/>
      <c r="DUN213" s="28"/>
      <c r="DUO213" s="28"/>
      <c r="DUP213" s="28"/>
      <c r="DUQ213" s="28"/>
      <c r="DUR213" s="28"/>
      <c r="DUS213" s="28"/>
      <c r="DUT213" s="28"/>
      <c r="DUU213" s="28"/>
      <c r="DUV213" s="28"/>
      <c r="DUW213" s="28"/>
      <c r="DUX213" s="28"/>
      <c r="DUY213" s="28"/>
      <c r="DUZ213" s="28"/>
      <c r="DVA213" s="28"/>
      <c r="DVB213" s="28"/>
      <c r="DVC213" s="28"/>
      <c r="DVD213" s="28"/>
      <c r="DVE213" s="28"/>
      <c r="DVF213" s="28"/>
      <c r="DVG213" s="28"/>
      <c r="DVH213" s="28"/>
      <c r="DVI213" s="28"/>
      <c r="DVJ213" s="28"/>
      <c r="DVK213" s="28"/>
      <c r="DVL213" s="28"/>
      <c r="DVM213" s="28"/>
      <c r="DVN213" s="28"/>
      <c r="DVO213" s="28"/>
      <c r="DVP213" s="28"/>
      <c r="DVQ213" s="28"/>
      <c r="DVR213" s="28"/>
      <c r="DVS213" s="28"/>
      <c r="DVT213" s="28"/>
      <c r="DVU213" s="28"/>
      <c r="DVV213" s="28"/>
      <c r="DVW213" s="28"/>
      <c r="DVX213" s="28"/>
      <c r="DVY213" s="28"/>
      <c r="DVZ213" s="28"/>
      <c r="DWA213" s="28"/>
      <c r="DWB213" s="28"/>
      <c r="DWC213" s="28"/>
      <c r="DWD213" s="28"/>
      <c r="DWE213" s="28"/>
      <c r="DWF213" s="28"/>
      <c r="DWG213" s="28"/>
      <c r="DWH213" s="28"/>
      <c r="DWI213" s="28"/>
      <c r="DWJ213" s="28"/>
      <c r="DWK213" s="28"/>
      <c r="DWL213" s="28"/>
      <c r="DWM213" s="28"/>
      <c r="DWN213" s="28"/>
      <c r="DWO213" s="28"/>
      <c r="DWP213" s="28"/>
      <c r="DWQ213" s="28"/>
      <c r="DWR213" s="28"/>
      <c r="DWS213" s="28"/>
      <c r="DWT213" s="28"/>
      <c r="DWU213" s="28"/>
      <c r="DWV213" s="28"/>
      <c r="DWW213" s="28"/>
      <c r="DWX213" s="28"/>
      <c r="DWY213" s="28"/>
      <c r="DWZ213" s="28"/>
      <c r="DXA213" s="28"/>
      <c r="DXB213" s="28"/>
      <c r="DXC213" s="28"/>
      <c r="DXD213" s="28"/>
      <c r="DXE213" s="28"/>
      <c r="DXF213" s="28"/>
      <c r="DXG213" s="28"/>
      <c r="DXH213" s="28"/>
      <c r="DXI213" s="28"/>
      <c r="DXJ213" s="28"/>
      <c r="DXK213" s="28"/>
      <c r="DXL213" s="28"/>
      <c r="DXM213" s="28"/>
      <c r="DXN213" s="28"/>
      <c r="DXO213" s="28"/>
      <c r="DXP213" s="28"/>
      <c r="DXQ213" s="28"/>
      <c r="DXR213" s="28"/>
      <c r="DXS213" s="28"/>
      <c r="DXT213" s="28"/>
      <c r="DXU213" s="28"/>
      <c r="DXV213" s="28"/>
      <c r="DXW213" s="28"/>
      <c r="DXX213" s="28"/>
      <c r="DXY213" s="28"/>
      <c r="DXZ213" s="28"/>
      <c r="DYA213" s="28"/>
      <c r="DYB213" s="28"/>
      <c r="DYC213" s="28"/>
      <c r="DYD213" s="28"/>
      <c r="DYE213" s="28"/>
      <c r="DYF213" s="28"/>
      <c r="DYG213" s="28"/>
      <c r="DYH213" s="28"/>
      <c r="DYI213" s="28"/>
      <c r="DYJ213" s="28"/>
      <c r="DYK213" s="28"/>
      <c r="DYL213" s="28"/>
      <c r="DYM213" s="28"/>
      <c r="DYN213" s="28"/>
      <c r="DYO213" s="28"/>
      <c r="DYP213" s="28"/>
      <c r="DYQ213" s="28"/>
      <c r="DYR213" s="28"/>
      <c r="DYS213" s="28"/>
      <c r="DYT213" s="28"/>
      <c r="DYU213" s="28"/>
      <c r="DYV213" s="28"/>
      <c r="DYW213" s="28"/>
      <c r="DYX213" s="28"/>
      <c r="DYY213" s="28"/>
      <c r="DYZ213" s="28"/>
      <c r="DZA213" s="28"/>
      <c r="DZB213" s="28"/>
      <c r="DZC213" s="28"/>
      <c r="DZD213" s="28"/>
      <c r="DZE213" s="28"/>
      <c r="DZF213" s="28"/>
      <c r="DZG213" s="28"/>
      <c r="DZH213" s="28"/>
      <c r="DZI213" s="28"/>
      <c r="DZJ213" s="28"/>
      <c r="DZK213" s="28"/>
      <c r="DZL213" s="28"/>
      <c r="DZM213" s="28"/>
      <c r="DZN213" s="28"/>
      <c r="DZO213" s="28"/>
      <c r="DZP213" s="28"/>
      <c r="DZQ213" s="28"/>
      <c r="DZR213" s="28"/>
      <c r="DZS213" s="28"/>
      <c r="DZT213" s="28"/>
      <c r="DZU213" s="28"/>
      <c r="DZV213" s="28"/>
      <c r="DZW213" s="28"/>
      <c r="DZX213" s="28"/>
      <c r="DZY213" s="28"/>
      <c r="DZZ213" s="28"/>
      <c r="EAA213" s="28"/>
      <c r="EAB213" s="28"/>
      <c r="EAC213" s="28"/>
      <c r="EAD213" s="28"/>
      <c r="EAE213" s="28"/>
      <c r="EAF213" s="28"/>
      <c r="EAG213" s="28"/>
      <c r="EAH213" s="28"/>
      <c r="EAI213" s="28"/>
      <c r="EAJ213" s="28"/>
      <c r="EAK213" s="28"/>
      <c r="EAL213" s="28"/>
      <c r="EAM213" s="28"/>
      <c r="EAN213" s="28"/>
      <c r="EAO213" s="28"/>
      <c r="EAP213" s="28"/>
      <c r="EAQ213" s="28"/>
      <c r="EAR213" s="28"/>
      <c r="EAS213" s="28"/>
      <c r="EAT213" s="28"/>
      <c r="EAU213" s="28"/>
      <c r="EAV213" s="28"/>
      <c r="EAW213" s="28"/>
      <c r="EAX213" s="28"/>
      <c r="EAY213" s="28"/>
      <c r="EAZ213" s="28"/>
      <c r="EBA213" s="28"/>
      <c r="EBB213" s="28"/>
      <c r="EBC213" s="28"/>
      <c r="EBD213" s="28"/>
      <c r="EBE213" s="28"/>
      <c r="EBF213" s="28"/>
      <c r="EBG213" s="28"/>
      <c r="EBH213" s="28"/>
      <c r="EBI213" s="28"/>
      <c r="EBJ213" s="28"/>
      <c r="EBK213" s="28"/>
      <c r="EBL213" s="28"/>
      <c r="EBM213" s="28"/>
      <c r="EBN213" s="28"/>
      <c r="EBO213" s="28"/>
      <c r="EBP213" s="28"/>
      <c r="EBQ213" s="28"/>
      <c r="EBR213" s="28"/>
      <c r="EBS213" s="28"/>
      <c r="EBT213" s="28"/>
      <c r="EBU213" s="28"/>
      <c r="EBV213" s="28"/>
      <c r="EBW213" s="28"/>
      <c r="EBX213" s="28"/>
      <c r="EBY213" s="28"/>
      <c r="EBZ213" s="28"/>
      <c r="ECA213" s="28"/>
      <c r="ECB213" s="28"/>
      <c r="ECC213" s="28"/>
      <c r="ECD213" s="28"/>
      <c r="ECE213" s="28"/>
      <c r="ECF213" s="28"/>
      <c r="ECG213" s="28"/>
      <c r="ECH213" s="28"/>
      <c r="ECI213" s="28"/>
      <c r="ECJ213" s="28"/>
      <c r="ECK213" s="28"/>
      <c r="ECL213" s="28"/>
      <c r="ECM213" s="28"/>
      <c r="ECN213" s="28"/>
      <c r="ECO213" s="28"/>
      <c r="ECP213" s="28"/>
      <c r="ECQ213" s="28"/>
      <c r="ECR213" s="28"/>
      <c r="ECS213" s="28"/>
      <c r="ECT213" s="28"/>
      <c r="ECU213" s="28"/>
      <c r="ECV213" s="28"/>
      <c r="ECW213" s="28"/>
      <c r="ECX213" s="28"/>
      <c r="ECY213" s="28"/>
      <c r="ECZ213" s="28"/>
      <c r="EDA213" s="28"/>
      <c r="EDB213" s="28"/>
      <c r="EDC213" s="28"/>
      <c r="EDD213" s="28"/>
      <c r="EDE213" s="28"/>
      <c r="EDF213" s="28"/>
      <c r="EDG213" s="28"/>
      <c r="EDH213" s="28"/>
      <c r="EDI213" s="28"/>
      <c r="EDJ213" s="28"/>
      <c r="EDK213" s="28"/>
      <c r="EDL213" s="28"/>
      <c r="EDM213" s="28"/>
      <c r="EDN213" s="28"/>
      <c r="EDO213" s="28"/>
      <c r="EDP213" s="28"/>
      <c r="EDQ213" s="28"/>
      <c r="EDR213" s="28"/>
      <c r="EDS213" s="28"/>
      <c r="EDT213" s="28"/>
      <c r="EDU213" s="28"/>
      <c r="EDV213" s="28"/>
      <c r="EDW213" s="28"/>
      <c r="EDX213" s="28"/>
      <c r="EDY213" s="28"/>
      <c r="EDZ213" s="28"/>
      <c r="EEA213" s="28"/>
      <c r="EEB213" s="28"/>
      <c r="EEC213" s="28"/>
      <c r="EED213" s="28"/>
      <c r="EEE213" s="28"/>
      <c r="EEF213" s="28"/>
      <c r="EEG213" s="28"/>
      <c r="EEH213" s="28"/>
      <c r="EEI213" s="28"/>
      <c r="EEJ213" s="28"/>
      <c r="EEK213" s="28"/>
      <c r="EEL213" s="28"/>
      <c r="EEM213" s="28"/>
      <c r="EEN213" s="28"/>
      <c r="EEO213" s="28"/>
      <c r="EEP213" s="28"/>
      <c r="EEQ213" s="28"/>
      <c r="EER213" s="28"/>
      <c r="EES213" s="28"/>
      <c r="EET213" s="28"/>
      <c r="EEU213" s="28"/>
      <c r="EEV213" s="28"/>
      <c r="EEW213" s="28"/>
      <c r="EEX213" s="28"/>
      <c r="EEY213" s="28"/>
      <c r="EEZ213" s="28"/>
      <c r="EFA213" s="28"/>
      <c r="EFB213" s="28"/>
      <c r="EFC213" s="28"/>
      <c r="EFD213" s="28"/>
      <c r="EFE213" s="28"/>
      <c r="EFF213" s="28"/>
      <c r="EFG213" s="28"/>
      <c r="EFH213" s="28"/>
      <c r="EFI213" s="28"/>
      <c r="EFJ213" s="28"/>
      <c r="EFK213" s="28"/>
      <c r="EFL213" s="28"/>
      <c r="EFM213" s="28"/>
      <c r="EFN213" s="28"/>
      <c r="EFO213" s="28"/>
      <c r="EFP213" s="28"/>
      <c r="EFQ213" s="28"/>
      <c r="EFR213" s="28"/>
      <c r="EFS213" s="28"/>
      <c r="EFT213" s="28"/>
      <c r="EFU213" s="28"/>
      <c r="EFV213" s="28"/>
      <c r="EFW213" s="28"/>
      <c r="EFX213" s="28"/>
      <c r="EFY213" s="28"/>
      <c r="EFZ213" s="28"/>
      <c r="EGA213" s="28"/>
      <c r="EGB213" s="28"/>
      <c r="EGC213" s="28"/>
      <c r="EGD213" s="28"/>
      <c r="EGE213" s="28"/>
      <c r="EGF213" s="28"/>
      <c r="EGG213" s="28"/>
      <c r="EGH213" s="28"/>
      <c r="EGI213" s="28"/>
      <c r="EGJ213" s="28"/>
      <c r="EGK213" s="28"/>
      <c r="EGL213" s="28"/>
      <c r="EGM213" s="28"/>
      <c r="EGN213" s="28"/>
      <c r="EGO213" s="28"/>
      <c r="EGP213" s="28"/>
      <c r="EGQ213" s="28"/>
      <c r="EGR213" s="28"/>
      <c r="EGS213" s="28"/>
      <c r="EGT213" s="28"/>
      <c r="EGU213" s="28"/>
      <c r="EGV213" s="28"/>
      <c r="EGW213" s="28"/>
      <c r="EGX213" s="28"/>
      <c r="EGY213" s="28"/>
      <c r="EGZ213" s="28"/>
      <c r="EHA213" s="28"/>
      <c r="EHB213" s="28"/>
      <c r="EHC213" s="28"/>
      <c r="EHD213" s="28"/>
      <c r="EHE213" s="28"/>
      <c r="EHF213" s="28"/>
      <c r="EHG213" s="28"/>
      <c r="EHH213" s="28"/>
      <c r="EHI213" s="28"/>
      <c r="EHJ213" s="28"/>
      <c r="EHK213" s="28"/>
      <c r="EHL213" s="28"/>
      <c r="EHM213" s="28"/>
      <c r="EHN213" s="28"/>
      <c r="EHO213" s="28"/>
      <c r="EHP213" s="28"/>
      <c r="EHQ213" s="28"/>
      <c r="EHR213" s="28"/>
      <c r="EHS213" s="28"/>
      <c r="EHT213" s="28"/>
      <c r="EHU213" s="28"/>
      <c r="EHV213" s="28"/>
      <c r="EHW213" s="28"/>
      <c r="EHX213" s="28"/>
      <c r="EHY213" s="28"/>
      <c r="EHZ213" s="28"/>
      <c r="EIA213" s="28"/>
      <c r="EIB213" s="28"/>
      <c r="EIC213" s="28"/>
      <c r="EID213" s="28"/>
      <c r="EIE213" s="28"/>
      <c r="EIF213" s="28"/>
      <c r="EIG213" s="28"/>
      <c r="EIH213" s="28"/>
      <c r="EII213" s="28"/>
      <c r="EIJ213" s="28"/>
      <c r="EIK213" s="28"/>
      <c r="EIL213" s="28"/>
      <c r="EIM213" s="28"/>
      <c r="EIN213" s="28"/>
      <c r="EIO213" s="28"/>
      <c r="EIP213" s="28"/>
      <c r="EIQ213" s="28"/>
      <c r="EIR213" s="28"/>
      <c r="EIS213" s="28"/>
      <c r="EIT213" s="28"/>
      <c r="EIU213" s="28"/>
      <c r="EIV213" s="28"/>
      <c r="EIW213" s="28"/>
      <c r="EIX213" s="28"/>
      <c r="EIY213" s="28"/>
      <c r="EIZ213" s="28"/>
      <c r="EJA213" s="28"/>
      <c r="EJB213" s="28"/>
      <c r="EJC213" s="28"/>
      <c r="EJD213" s="28"/>
      <c r="EJE213" s="28"/>
      <c r="EJF213" s="28"/>
      <c r="EJG213" s="28"/>
      <c r="EJH213" s="28"/>
      <c r="EJI213" s="28"/>
      <c r="EJJ213" s="28"/>
      <c r="EJK213" s="28"/>
      <c r="EJL213" s="28"/>
      <c r="EJM213" s="28"/>
      <c r="EJN213" s="28"/>
      <c r="EJO213" s="28"/>
      <c r="EJP213" s="28"/>
      <c r="EJQ213" s="28"/>
      <c r="EJR213" s="28"/>
      <c r="EJS213" s="28"/>
      <c r="EJT213" s="28"/>
      <c r="EJU213" s="28"/>
      <c r="EJV213" s="28"/>
      <c r="EJW213" s="28"/>
      <c r="EJX213" s="28"/>
      <c r="EJY213" s="28"/>
      <c r="EJZ213" s="28"/>
      <c r="EKA213" s="28"/>
      <c r="EKB213" s="28"/>
      <c r="EKC213" s="28"/>
      <c r="EKD213" s="28"/>
      <c r="EKE213" s="28"/>
      <c r="EKF213" s="28"/>
      <c r="EKG213" s="28"/>
      <c r="EKH213" s="28"/>
      <c r="EKI213" s="28"/>
      <c r="EKJ213" s="28"/>
      <c r="EKK213" s="28"/>
      <c r="EKL213" s="28"/>
      <c r="EKM213" s="28"/>
      <c r="EKN213" s="28"/>
      <c r="EKO213" s="28"/>
      <c r="EKP213" s="28"/>
      <c r="EKQ213" s="28"/>
      <c r="EKR213" s="28"/>
      <c r="EKS213" s="28"/>
      <c r="EKT213" s="28"/>
      <c r="EKU213" s="28"/>
      <c r="EKV213" s="28"/>
      <c r="EKW213" s="28"/>
      <c r="EKX213" s="28"/>
      <c r="EKY213" s="28"/>
      <c r="EKZ213" s="28"/>
      <c r="ELA213" s="28"/>
      <c r="ELB213" s="28"/>
      <c r="ELC213" s="28"/>
      <c r="ELD213" s="28"/>
      <c r="ELE213" s="28"/>
      <c r="ELF213" s="28"/>
      <c r="ELG213" s="28"/>
      <c r="ELH213" s="28"/>
      <c r="ELI213" s="28"/>
      <c r="ELJ213" s="28"/>
      <c r="ELK213" s="28"/>
      <c r="ELL213" s="28"/>
      <c r="ELM213" s="28"/>
      <c r="ELN213" s="28"/>
      <c r="ELO213" s="28"/>
      <c r="ELP213" s="28"/>
      <c r="ELQ213" s="28"/>
      <c r="ELR213" s="28"/>
      <c r="ELS213" s="28"/>
      <c r="ELT213" s="28"/>
      <c r="ELU213" s="28"/>
      <c r="ELV213" s="28"/>
      <c r="ELW213" s="28"/>
      <c r="ELX213" s="28"/>
      <c r="ELY213" s="28"/>
      <c r="ELZ213" s="28"/>
      <c r="EMA213" s="28"/>
      <c r="EMB213" s="28"/>
      <c r="EMC213" s="28"/>
      <c r="EMD213" s="28"/>
      <c r="EME213" s="28"/>
      <c r="EMF213" s="28"/>
      <c r="EMG213" s="28"/>
      <c r="EMH213" s="28"/>
      <c r="EMI213" s="28"/>
      <c r="EMJ213" s="28"/>
      <c r="EMK213" s="28"/>
      <c r="EML213" s="28"/>
      <c r="EMM213" s="28"/>
      <c r="EMN213" s="28"/>
      <c r="EMO213" s="28"/>
      <c r="EMP213" s="28"/>
      <c r="EMQ213" s="28"/>
      <c r="EMR213" s="28"/>
      <c r="EMS213" s="28"/>
      <c r="EMT213" s="28"/>
      <c r="EMU213" s="28"/>
      <c r="EMV213" s="28"/>
      <c r="EMW213" s="28"/>
      <c r="EMX213" s="28"/>
      <c r="EMY213" s="28"/>
      <c r="EMZ213" s="28"/>
      <c r="ENA213" s="28"/>
      <c r="ENB213" s="28"/>
      <c r="ENC213" s="28"/>
      <c r="END213" s="28"/>
      <c r="ENE213" s="28"/>
      <c r="ENF213" s="28"/>
      <c r="ENG213" s="28"/>
      <c r="ENH213" s="28"/>
      <c r="ENI213" s="28"/>
      <c r="ENJ213" s="28"/>
      <c r="ENK213" s="28"/>
      <c r="ENL213" s="28"/>
      <c r="ENM213" s="28"/>
      <c r="ENN213" s="28"/>
      <c r="ENO213" s="28"/>
      <c r="ENP213" s="28"/>
      <c r="ENQ213" s="28"/>
      <c r="ENR213" s="28"/>
      <c r="ENS213" s="28"/>
      <c r="ENT213" s="28"/>
      <c r="ENU213" s="28"/>
      <c r="ENV213" s="28"/>
      <c r="ENW213" s="28"/>
      <c r="ENX213" s="28"/>
      <c r="ENY213" s="28"/>
      <c r="ENZ213" s="28"/>
      <c r="EOA213" s="28"/>
      <c r="EOB213" s="28"/>
      <c r="EOC213" s="28"/>
      <c r="EOD213" s="28"/>
      <c r="EOE213" s="28"/>
      <c r="EOF213" s="28"/>
      <c r="EOG213" s="28"/>
      <c r="EOH213" s="28"/>
      <c r="EOI213" s="28"/>
      <c r="EOJ213" s="28"/>
      <c r="EOK213" s="28"/>
      <c r="EOL213" s="28"/>
      <c r="EOM213" s="28"/>
      <c r="EON213" s="28"/>
      <c r="EOO213" s="28"/>
      <c r="EOP213" s="28"/>
      <c r="EOQ213" s="28"/>
      <c r="EOR213" s="28"/>
      <c r="EOS213" s="28"/>
      <c r="EOT213" s="28"/>
      <c r="EOU213" s="28"/>
      <c r="EOV213" s="28"/>
      <c r="EOW213" s="28"/>
      <c r="EOX213" s="28"/>
      <c r="EOY213" s="28"/>
      <c r="EOZ213" s="28"/>
      <c r="EPA213" s="28"/>
      <c r="EPB213" s="28"/>
      <c r="EPC213" s="28"/>
      <c r="EPD213" s="28"/>
      <c r="EPE213" s="28"/>
      <c r="EPF213" s="28"/>
      <c r="EPG213" s="28"/>
      <c r="EPH213" s="28"/>
      <c r="EPI213" s="28"/>
      <c r="EPJ213" s="28"/>
      <c r="EPK213" s="28"/>
      <c r="EPL213" s="28"/>
      <c r="EPM213" s="28"/>
      <c r="EPN213" s="28"/>
      <c r="EPO213" s="28"/>
      <c r="EPP213" s="28"/>
      <c r="EPQ213" s="28"/>
      <c r="EPR213" s="28"/>
      <c r="EPS213" s="28"/>
      <c r="EPT213" s="28"/>
      <c r="EPU213" s="28"/>
      <c r="EPV213" s="28"/>
      <c r="EPW213" s="28"/>
      <c r="EPX213" s="28"/>
      <c r="EPY213" s="28"/>
      <c r="EPZ213" s="28"/>
      <c r="EQA213" s="28"/>
      <c r="EQB213" s="28"/>
      <c r="EQC213" s="28"/>
      <c r="EQD213" s="28"/>
      <c r="EQE213" s="28"/>
      <c r="EQF213" s="28"/>
      <c r="EQG213" s="28"/>
      <c r="EQH213" s="28"/>
      <c r="EQI213" s="28"/>
      <c r="EQJ213" s="28"/>
      <c r="EQK213" s="28"/>
      <c r="EQL213" s="28"/>
      <c r="EQM213" s="28"/>
      <c r="EQN213" s="28"/>
      <c r="EQO213" s="28"/>
      <c r="EQP213" s="28"/>
      <c r="EQQ213" s="28"/>
      <c r="EQR213" s="28"/>
      <c r="EQS213" s="28"/>
      <c r="EQT213" s="28"/>
      <c r="EQU213" s="28"/>
      <c r="EQV213" s="28"/>
      <c r="EQW213" s="28"/>
      <c r="EQX213" s="28"/>
      <c r="EQY213" s="28"/>
      <c r="EQZ213" s="28"/>
      <c r="ERA213" s="28"/>
      <c r="ERB213" s="28"/>
      <c r="ERC213" s="28"/>
      <c r="ERD213" s="28"/>
      <c r="ERE213" s="28"/>
      <c r="ERF213" s="28"/>
      <c r="ERG213" s="28"/>
      <c r="ERH213" s="28"/>
      <c r="ERI213" s="28"/>
      <c r="ERJ213" s="28"/>
      <c r="ERK213" s="28"/>
      <c r="ERL213" s="28"/>
      <c r="ERM213" s="28"/>
      <c r="ERN213" s="28"/>
      <c r="ERO213" s="28"/>
      <c r="ERP213" s="28"/>
      <c r="ERQ213" s="28"/>
      <c r="ERR213" s="28"/>
      <c r="ERS213" s="28"/>
      <c r="ERT213" s="28"/>
      <c r="ERU213" s="28"/>
      <c r="ERV213" s="28"/>
      <c r="ERW213" s="28"/>
      <c r="ERX213" s="28"/>
      <c r="ERY213" s="28"/>
      <c r="ERZ213" s="28"/>
      <c r="ESA213" s="28"/>
      <c r="ESB213" s="28"/>
      <c r="ESC213" s="28"/>
      <c r="ESD213" s="28"/>
      <c r="ESE213" s="28"/>
      <c r="ESF213" s="28"/>
      <c r="ESG213" s="28"/>
      <c r="ESH213" s="28"/>
      <c r="ESI213" s="28"/>
      <c r="ESJ213" s="28"/>
      <c r="ESK213" s="28"/>
      <c r="ESL213" s="28"/>
      <c r="ESM213" s="28"/>
      <c r="ESN213" s="28"/>
      <c r="ESO213" s="28"/>
      <c r="ESP213" s="28"/>
      <c r="ESQ213" s="28"/>
      <c r="ESR213" s="28"/>
      <c r="ESS213" s="28"/>
      <c r="EST213" s="28"/>
      <c r="ESU213" s="28"/>
      <c r="ESV213" s="28"/>
      <c r="ESW213" s="28"/>
      <c r="ESX213" s="28"/>
      <c r="ESY213" s="28"/>
      <c r="ESZ213" s="28"/>
      <c r="ETA213" s="28"/>
      <c r="ETB213" s="28"/>
      <c r="ETC213" s="28"/>
      <c r="ETD213" s="28"/>
      <c r="ETE213" s="28"/>
      <c r="ETF213" s="28"/>
      <c r="ETG213" s="28"/>
      <c r="ETH213" s="28"/>
      <c r="ETI213" s="28"/>
      <c r="ETJ213" s="28"/>
      <c r="ETK213" s="28"/>
      <c r="ETL213" s="28"/>
      <c r="ETM213" s="28"/>
      <c r="ETN213" s="28"/>
      <c r="ETO213" s="28"/>
      <c r="ETP213" s="28"/>
      <c r="ETQ213" s="28"/>
      <c r="ETR213" s="28"/>
      <c r="ETS213" s="28"/>
      <c r="ETT213" s="28"/>
      <c r="ETU213" s="28"/>
      <c r="ETV213" s="28"/>
      <c r="ETW213" s="28"/>
      <c r="ETX213" s="28"/>
      <c r="ETY213" s="28"/>
      <c r="ETZ213" s="28"/>
      <c r="EUA213" s="28"/>
      <c r="EUB213" s="28"/>
      <c r="EUC213" s="28"/>
      <c r="EUD213" s="28"/>
      <c r="EUE213" s="28"/>
      <c r="EUF213" s="28"/>
      <c r="EUG213" s="28"/>
      <c r="EUH213" s="28"/>
      <c r="EUI213" s="28"/>
      <c r="EUJ213" s="28"/>
      <c r="EUK213" s="28"/>
      <c r="EUL213" s="28"/>
      <c r="EUM213" s="28"/>
      <c r="EUN213" s="28"/>
      <c r="EUO213" s="28"/>
      <c r="EUP213" s="28"/>
      <c r="EUQ213" s="28"/>
      <c r="EUR213" s="28"/>
      <c r="EUS213" s="28"/>
      <c r="EUT213" s="28"/>
      <c r="EUU213" s="28"/>
      <c r="EUV213" s="28"/>
      <c r="EUW213" s="28"/>
      <c r="EUX213" s="28"/>
      <c r="EUY213" s="28"/>
      <c r="EUZ213" s="28"/>
      <c r="EVA213" s="28"/>
      <c r="EVB213" s="28"/>
      <c r="EVC213" s="28"/>
      <c r="EVD213" s="28"/>
      <c r="EVE213" s="28"/>
      <c r="EVF213" s="28"/>
      <c r="EVG213" s="28"/>
      <c r="EVH213" s="28"/>
      <c r="EVI213" s="28"/>
      <c r="EVJ213" s="28"/>
      <c r="EVK213" s="28"/>
      <c r="EVL213" s="28"/>
      <c r="EVM213" s="28"/>
      <c r="EVN213" s="28"/>
      <c r="EVO213" s="28"/>
      <c r="EVP213" s="28"/>
      <c r="EVQ213" s="28"/>
      <c r="EVR213" s="28"/>
      <c r="EVS213" s="28"/>
      <c r="EVT213" s="28"/>
      <c r="EVU213" s="28"/>
      <c r="EVV213" s="28"/>
      <c r="EVW213" s="28"/>
      <c r="EVX213" s="28"/>
      <c r="EVY213" s="28"/>
      <c r="EVZ213" s="28"/>
      <c r="EWA213" s="28"/>
      <c r="EWB213" s="28"/>
      <c r="EWC213" s="28"/>
      <c r="EWD213" s="28"/>
      <c r="EWE213" s="28"/>
      <c r="EWF213" s="28"/>
      <c r="EWG213" s="28"/>
      <c r="EWH213" s="28"/>
      <c r="EWI213" s="28"/>
      <c r="EWJ213" s="28"/>
      <c r="EWK213" s="28"/>
      <c r="EWL213" s="28"/>
      <c r="EWM213" s="28"/>
      <c r="EWN213" s="28"/>
      <c r="EWO213" s="28"/>
      <c r="EWP213" s="28"/>
      <c r="EWQ213" s="28"/>
      <c r="EWR213" s="28"/>
      <c r="EWS213" s="28"/>
      <c r="EWT213" s="28"/>
      <c r="EWU213" s="28"/>
      <c r="EWV213" s="28"/>
      <c r="EWW213" s="28"/>
      <c r="EWX213" s="28"/>
      <c r="EWY213" s="28"/>
      <c r="EWZ213" s="28"/>
      <c r="EXA213" s="28"/>
      <c r="EXB213" s="28"/>
      <c r="EXC213" s="28"/>
      <c r="EXD213" s="28"/>
      <c r="EXE213" s="28"/>
      <c r="EXF213" s="28"/>
      <c r="EXG213" s="28"/>
      <c r="EXH213" s="28"/>
      <c r="EXI213" s="28"/>
      <c r="EXJ213" s="28"/>
      <c r="EXK213" s="28"/>
      <c r="EXL213" s="28"/>
      <c r="EXM213" s="28"/>
      <c r="EXN213" s="28"/>
      <c r="EXO213" s="28"/>
      <c r="EXP213" s="28"/>
      <c r="EXQ213" s="28"/>
      <c r="EXR213" s="28"/>
      <c r="EXS213" s="28"/>
      <c r="EXT213" s="28"/>
      <c r="EXU213" s="28"/>
      <c r="EXV213" s="28"/>
      <c r="EXW213" s="28"/>
      <c r="EXX213" s="28"/>
      <c r="EXY213" s="28"/>
      <c r="EXZ213" s="28"/>
      <c r="EYA213" s="28"/>
      <c r="EYB213" s="28"/>
      <c r="EYC213" s="28"/>
      <c r="EYD213" s="28"/>
      <c r="EYE213" s="28"/>
      <c r="EYF213" s="28"/>
      <c r="EYG213" s="28"/>
      <c r="EYH213" s="28"/>
      <c r="EYI213" s="28"/>
      <c r="EYJ213" s="28"/>
      <c r="EYK213" s="28"/>
      <c r="EYL213" s="28"/>
      <c r="EYM213" s="28"/>
      <c r="EYN213" s="28"/>
      <c r="EYO213" s="28"/>
      <c r="EYP213" s="28"/>
      <c r="EYQ213" s="28"/>
      <c r="EYR213" s="28"/>
      <c r="EYS213" s="28"/>
      <c r="EYT213" s="28"/>
      <c r="EYU213" s="28"/>
      <c r="EYV213" s="28"/>
      <c r="EYW213" s="28"/>
      <c r="EYX213" s="28"/>
      <c r="EYY213" s="28"/>
      <c r="EYZ213" s="28"/>
      <c r="EZA213" s="28"/>
      <c r="EZB213" s="28"/>
      <c r="EZC213" s="28"/>
      <c r="EZD213" s="28"/>
      <c r="EZE213" s="28"/>
      <c r="EZF213" s="28"/>
      <c r="EZG213" s="28"/>
      <c r="EZH213" s="28"/>
      <c r="EZI213" s="28"/>
      <c r="EZJ213" s="28"/>
      <c r="EZK213" s="28"/>
      <c r="EZL213" s="28"/>
      <c r="EZM213" s="28"/>
      <c r="EZN213" s="28"/>
      <c r="EZO213" s="28"/>
      <c r="EZP213" s="28"/>
      <c r="EZQ213" s="28"/>
      <c r="EZR213" s="28"/>
      <c r="EZS213" s="28"/>
      <c r="EZT213" s="28"/>
      <c r="EZU213" s="28"/>
      <c r="EZV213" s="28"/>
      <c r="EZW213" s="28"/>
      <c r="EZX213" s="28"/>
      <c r="EZY213" s="28"/>
      <c r="EZZ213" s="28"/>
      <c r="FAA213" s="28"/>
      <c r="FAB213" s="28"/>
      <c r="FAC213" s="28"/>
      <c r="FAD213" s="28"/>
      <c r="FAE213" s="28"/>
      <c r="FAF213" s="28"/>
      <c r="FAG213" s="28"/>
      <c r="FAH213" s="28"/>
      <c r="FAI213" s="28"/>
      <c r="FAJ213" s="28"/>
      <c r="FAK213" s="28"/>
      <c r="FAL213" s="28"/>
      <c r="FAM213" s="28"/>
      <c r="FAN213" s="28"/>
      <c r="FAO213" s="28"/>
      <c r="FAP213" s="28"/>
      <c r="FAQ213" s="28"/>
      <c r="FAR213" s="28"/>
      <c r="FAS213" s="28"/>
      <c r="FAT213" s="28"/>
      <c r="FAU213" s="28"/>
      <c r="FAV213" s="28"/>
      <c r="FAW213" s="28"/>
      <c r="FAX213" s="28"/>
      <c r="FAY213" s="28"/>
      <c r="FAZ213" s="28"/>
      <c r="FBA213" s="28"/>
      <c r="FBB213" s="28"/>
      <c r="FBC213" s="28"/>
      <c r="FBD213" s="28"/>
      <c r="FBE213" s="28"/>
      <c r="FBF213" s="28"/>
      <c r="FBG213" s="28"/>
      <c r="FBH213" s="28"/>
      <c r="FBI213" s="28"/>
      <c r="FBJ213" s="28"/>
      <c r="FBK213" s="28"/>
      <c r="FBL213" s="28"/>
      <c r="FBM213" s="28"/>
      <c r="FBN213" s="28"/>
      <c r="FBO213" s="28"/>
      <c r="FBP213" s="28"/>
      <c r="FBQ213" s="28"/>
      <c r="FBR213" s="28"/>
      <c r="FBS213" s="28"/>
      <c r="FBT213" s="28"/>
      <c r="FBU213" s="28"/>
      <c r="FBV213" s="28"/>
      <c r="FBW213" s="28"/>
      <c r="FBX213" s="28"/>
      <c r="FBY213" s="28"/>
      <c r="FBZ213" s="28"/>
      <c r="FCA213" s="28"/>
      <c r="FCB213" s="28"/>
      <c r="FCC213" s="28"/>
      <c r="FCD213" s="28"/>
      <c r="FCE213" s="28"/>
      <c r="FCF213" s="28"/>
      <c r="FCG213" s="28"/>
      <c r="FCH213" s="28"/>
      <c r="FCI213" s="28"/>
      <c r="FCJ213" s="28"/>
      <c r="FCK213" s="28"/>
      <c r="FCL213" s="28"/>
      <c r="FCM213" s="28"/>
      <c r="FCN213" s="28"/>
      <c r="FCO213" s="28"/>
      <c r="FCP213" s="28"/>
      <c r="FCQ213" s="28"/>
      <c r="FCR213" s="28"/>
      <c r="FCS213" s="28"/>
      <c r="FCT213" s="28"/>
      <c r="FCU213" s="28"/>
      <c r="FCV213" s="28"/>
      <c r="FCW213" s="28"/>
      <c r="FCX213" s="28"/>
      <c r="FCY213" s="28"/>
      <c r="FCZ213" s="28"/>
      <c r="FDA213" s="28"/>
      <c r="FDB213" s="28"/>
      <c r="FDC213" s="28"/>
      <c r="FDD213" s="28"/>
      <c r="FDE213" s="28"/>
      <c r="FDF213" s="28"/>
      <c r="FDG213" s="28"/>
      <c r="FDH213" s="28"/>
      <c r="FDI213" s="28"/>
      <c r="FDJ213" s="28"/>
      <c r="FDK213" s="28"/>
      <c r="FDL213" s="28"/>
      <c r="FDM213" s="28"/>
      <c r="FDN213" s="28"/>
      <c r="FDO213" s="28"/>
      <c r="FDP213" s="28"/>
      <c r="FDQ213" s="28"/>
      <c r="FDR213" s="28"/>
      <c r="FDS213" s="28"/>
      <c r="FDT213" s="28"/>
      <c r="FDU213" s="28"/>
      <c r="FDV213" s="28"/>
      <c r="FDW213" s="28"/>
      <c r="FDX213" s="28"/>
      <c r="FDY213" s="28"/>
      <c r="FDZ213" s="28"/>
      <c r="FEA213" s="28"/>
      <c r="FEB213" s="28"/>
      <c r="FEC213" s="28"/>
      <c r="FED213" s="28"/>
      <c r="FEE213" s="28"/>
      <c r="FEF213" s="28"/>
      <c r="FEG213" s="28"/>
      <c r="FEH213" s="28"/>
      <c r="FEI213" s="28"/>
      <c r="FEJ213" s="28"/>
      <c r="FEK213" s="28"/>
      <c r="FEL213" s="28"/>
      <c r="FEM213" s="28"/>
      <c r="FEN213" s="28"/>
      <c r="FEO213" s="28"/>
      <c r="FEP213" s="28"/>
      <c r="FEQ213" s="28"/>
      <c r="FER213" s="28"/>
      <c r="FES213" s="28"/>
      <c r="FET213" s="28"/>
      <c r="FEU213" s="28"/>
      <c r="FEV213" s="28"/>
      <c r="FEW213" s="28"/>
      <c r="FEX213" s="28"/>
      <c r="FEY213" s="28"/>
      <c r="FEZ213" s="28"/>
      <c r="FFA213" s="28"/>
      <c r="FFB213" s="28"/>
      <c r="FFC213" s="28"/>
      <c r="FFD213" s="28"/>
      <c r="FFE213" s="28"/>
      <c r="FFF213" s="28"/>
      <c r="FFG213" s="28"/>
      <c r="FFH213" s="28"/>
      <c r="FFI213" s="28"/>
      <c r="FFJ213" s="28"/>
      <c r="FFK213" s="28"/>
      <c r="FFL213" s="28"/>
      <c r="FFM213" s="28"/>
      <c r="FFN213" s="28"/>
      <c r="FFO213" s="28"/>
      <c r="FFP213" s="28"/>
      <c r="FFQ213" s="28"/>
      <c r="FFR213" s="28"/>
      <c r="FFS213" s="28"/>
      <c r="FFT213" s="28"/>
      <c r="FFU213" s="28"/>
      <c r="FFV213" s="28"/>
      <c r="FFW213" s="28"/>
      <c r="FFX213" s="28"/>
      <c r="FFY213" s="28"/>
      <c r="FFZ213" s="28"/>
      <c r="FGA213" s="28"/>
      <c r="FGB213" s="28"/>
      <c r="FGC213" s="28"/>
      <c r="FGD213" s="28"/>
      <c r="FGE213" s="28"/>
      <c r="FGF213" s="28"/>
      <c r="FGG213" s="28"/>
      <c r="FGH213" s="28"/>
      <c r="FGI213" s="28"/>
      <c r="FGJ213" s="28"/>
      <c r="FGK213" s="28"/>
      <c r="FGL213" s="28"/>
      <c r="FGM213" s="28"/>
      <c r="FGN213" s="28"/>
      <c r="FGO213" s="28"/>
      <c r="FGP213" s="28"/>
      <c r="FGQ213" s="28"/>
      <c r="FGR213" s="28"/>
      <c r="FGS213" s="28"/>
      <c r="FGT213" s="28"/>
      <c r="FGU213" s="28"/>
      <c r="FGV213" s="28"/>
      <c r="FGW213" s="28"/>
      <c r="FGX213" s="28"/>
      <c r="FGY213" s="28"/>
      <c r="FGZ213" s="28"/>
      <c r="FHA213" s="28"/>
      <c r="FHB213" s="28"/>
      <c r="FHC213" s="28"/>
      <c r="FHD213" s="28"/>
      <c r="FHE213" s="28"/>
      <c r="FHF213" s="28"/>
      <c r="FHG213" s="28"/>
      <c r="FHH213" s="28"/>
      <c r="FHI213" s="28"/>
      <c r="FHJ213" s="28"/>
      <c r="FHK213" s="28"/>
      <c r="FHL213" s="28"/>
      <c r="FHM213" s="28"/>
      <c r="FHN213" s="28"/>
      <c r="FHO213" s="28"/>
      <c r="FHP213" s="28"/>
      <c r="FHQ213" s="28"/>
      <c r="FHR213" s="28"/>
      <c r="FHS213" s="28"/>
      <c r="FHT213" s="28"/>
      <c r="FHU213" s="28"/>
      <c r="FHV213" s="28"/>
      <c r="FHW213" s="28"/>
      <c r="FHX213" s="28"/>
      <c r="FHY213" s="28"/>
      <c r="FHZ213" s="28"/>
      <c r="FIA213" s="28"/>
      <c r="FIB213" s="28"/>
      <c r="FIC213" s="28"/>
      <c r="FID213" s="28"/>
      <c r="FIE213" s="28"/>
      <c r="FIF213" s="28"/>
      <c r="FIG213" s="28"/>
      <c r="FIH213" s="28"/>
      <c r="FII213" s="28"/>
      <c r="FIJ213" s="28"/>
      <c r="FIK213" s="28"/>
      <c r="FIL213" s="28"/>
      <c r="FIM213" s="28"/>
      <c r="FIN213" s="28"/>
      <c r="FIO213" s="28"/>
      <c r="FIP213" s="28"/>
      <c r="FIQ213" s="28"/>
      <c r="FIR213" s="28"/>
      <c r="FIS213" s="28"/>
      <c r="FIT213" s="28"/>
      <c r="FIU213" s="28"/>
      <c r="FIV213" s="28"/>
      <c r="FIW213" s="28"/>
      <c r="FIX213" s="28"/>
      <c r="FIY213" s="28"/>
      <c r="FIZ213" s="28"/>
      <c r="FJA213" s="28"/>
      <c r="FJB213" s="28"/>
      <c r="FJC213" s="28"/>
      <c r="FJD213" s="28"/>
      <c r="FJE213" s="28"/>
      <c r="FJF213" s="28"/>
      <c r="FJG213" s="28"/>
      <c r="FJH213" s="28"/>
      <c r="FJI213" s="28"/>
      <c r="FJJ213" s="28"/>
      <c r="FJK213" s="28"/>
      <c r="FJL213" s="28"/>
      <c r="FJM213" s="28"/>
      <c r="FJN213" s="28"/>
      <c r="FJO213" s="28"/>
      <c r="FJP213" s="28"/>
      <c r="FJQ213" s="28"/>
      <c r="FJR213" s="28"/>
      <c r="FJS213" s="28"/>
      <c r="FJT213" s="28"/>
      <c r="FJU213" s="28"/>
      <c r="FJV213" s="28"/>
      <c r="FJW213" s="28"/>
      <c r="FJX213" s="28"/>
      <c r="FJY213" s="28"/>
      <c r="FJZ213" s="28"/>
      <c r="FKA213" s="28"/>
      <c r="FKB213" s="28"/>
      <c r="FKC213" s="28"/>
      <c r="FKD213" s="28"/>
      <c r="FKE213" s="28"/>
      <c r="FKF213" s="28"/>
      <c r="FKG213" s="28"/>
      <c r="FKH213" s="28"/>
      <c r="FKI213" s="28"/>
      <c r="FKJ213" s="28"/>
      <c r="FKK213" s="28"/>
      <c r="FKL213" s="28"/>
      <c r="FKM213" s="28"/>
      <c r="FKN213" s="28"/>
      <c r="FKO213" s="28"/>
      <c r="FKP213" s="28"/>
      <c r="FKQ213" s="28"/>
      <c r="FKR213" s="28"/>
      <c r="FKS213" s="28"/>
      <c r="FKT213" s="28"/>
      <c r="FKU213" s="28"/>
      <c r="FKV213" s="28"/>
      <c r="FKW213" s="28"/>
      <c r="FKX213" s="28"/>
      <c r="FKY213" s="28"/>
      <c r="FKZ213" s="28"/>
      <c r="FLA213" s="28"/>
      <c r="FLB213" s="28"/>
      <c r="FLC213" s="28"/>
      <c r="FLD213" s="28"/>
      <c r="FLE213" s="28"/>
      <c r="FLF213" s="28"/>
      <c r="FLG213" s="28"/>
      <c r="FLH213" s="28"/>
      <c r="FLI213" s="28"/>
      <c r="FLJ213" s="28"/>
      <c r="FLK213" s="28"/>
      <c r="FLL213" s="28"/>
      <c r="FLM213" s="28"/>
      <c r="FLN213" s="28"/>
      <c r="FLO213" s="28"/>
      <c r="FLP213" s="28"/>
      <c r="FLQ213" s="28"/>
      <c r="FLR213" s="28"/>
      <c r="FLS213" s="28"/>
      <c r="FLT213" s="28"/>
      <c r="FLU213" s="28"/>
      <c r="FLV213" s="28"/>
      <c r="FLW213" s="28"/>
      <c r="FLX213" s="28"/>
      <c r="FLY213" s="28"/>
      <c r="FLZ213" s="28"/>
      <c r="FMA213" s="28"/>
      <c r="FMB213" s="28"/>
      <c r="FMC213" s="28"/>
      <c r="FMD213" s="28"/>
      <c r="FME213" s="28"/>
      <c r="FMF213" s="28"/>
      <c r="FMG213" s="28"/>
      <c r="FMH213" s="28"/>
      <c r="FMI213" s="28"/>
      <c r="FMJ213" s="28"/>
      <c r="FMK213" s="28"/>
      <c r="FML213" s="28"/>
      <c r="FMM213" s="28"/>
      <c r="FMN213" s="28"/>
      <c r="FMO213" s="28"/>
      <c r="FMP213" s="28"/>
      <c r="FMQ213" s="28"/>
      <c r="FMR213" s="28"/>
      <c r="FMS213" s="28"/>
      <c r="FMT213" s="28"/>
      <c r="FMU213" s="28"/>
      <c r="FMV213" s="28"/>
      <c r="FMW213" s="28"/>
      <c r="FMX213" s="28"/>
      <c r="FMY213" s="28"/>
      <c r="FMZ213" s="28"/>
      <c r="FNA213" s="28"/>
      <c r="FNB213" s="28"/>
      <c r="FNC213" s="28"/>
      <c r="FND213" s="28"/>
      <c r="FNE213" s="28"/>
      <c r="FNF213" s="28"/>
      <c r="FNG213" s="28"/>
      <c r="FNH213" s="28"/>
      <c r="FNI213" s="28"/>
      <c r="FNJ213" s="28"/>
      <c r="FNK213" s="28"/>
      <c r="FNL213" s="28"/>
      <c r="FNM213" s="28"/>
      <c r="FNN213" s="28"/>
      <c r="FNO213" s="28"/>
      <c r="FNP213" s="28"/>
      <c r="FNQ213" s="28"/>
      <c r="FNR213" s="28"/>
      <c r="FNS213" s="28"/>
      <c r="FNT213" s="28"/>
      <c r="FNU213" s="28"/>
      <c r="FNV213" s="28"/>
      <c r="FNW213" s="28"/>
      <c r="FNX213" s="28"/>
      <c r="FNY213" s="28"/>
      <c r="FNZ213" s="28"/>
      <c r="FOA213" s="28"/>
      <c r="FOB213" s="28"/>
      <c r="FOC213" s="28"/>
      <c r="FOD213" s="28"/>
      <c r="FOE213" s="28"/>
      <c r="FOF213" s="28"/>
      <c r="FOG213" s="28"/>
      <c r="FOH213" s="28"/>
      <c r="FOI213" s="28"/>
      <c r="FOJ213" s="28"/>
      <c r="FOK213" s="28"/>
      <c r="FOL213" s="28"/>
      <c r="FOM213" s="28"/>
      <c r="FON213" s="28"/>
      <c r="FOO213" s="28"/>
      <c r="FOP213" s="28"/>
      <c r="FOQ213" s="28"/>
      <c r="FOR213" s="28"/>
      <c r="FOS213" s="28"/>
      <c r="FOT213" s="28"/>
      <c r="FOU213" s="28"/>
      <c r="FOV213" s="28"/>
      <c r="FOW213" s="28"/>
      <c r="FOX213" s="28"/>
      <c r="FOY213" s="28"/>
      <c r="FOZ213" s="28"/>
      <c r="FPA213" s="28"/>
      <c r="FPB213" s="28"/>
      <c r="FPC213" s="28"/>
      <c r="FPD213" s="28"/>
      <c r="FPE213" s="28"/>
      <c r="FPF213" s="28"/>
      <c r="FPG213" s="28"/>
      <c r="FPH213" s="28"/>
      <c r="FPI213" s="28"/>
      <c r="FPJ213" s="28"/>
      <c r="FPK213" s="28"/>
      <c r="FPL213" s="28"/>
      <c r="FPM213" s="28"/>
      <c r="FPN213" s="28"/>
      <c r="FPO213" s="28"/>
      <c r="FPP213" s="28"/>
      <c r="FPQ213" s="28"/>
      <c r="FPR213" s="28"/>
      <c r="FPS213" s="28"/>
      <c r="FPT213" s="28"/>
      <c r="FPU213" s="28"/>
      <c r="FPV213" s="28"/>
      <c r="FPW213" s="28"/>
      <c r="FPX213" s="28"/>
      <c r="FPY213" s="28"/>
      <c r="FPZ213" s="28"/>
      <c r="FQA213" s="28"/>
      <c r="FQB213" s="28"/>
      <c r="FQC213" s="28"/>
      <c r="FQD213" s="28"/>
      <c r="FQE213" s="28"/>
      <c r="FQF213" s="28"/>
      <c r="FQG213" s="28"/>
      <c r="FQH213" s="28"/>
      <c r="FQI213" s="28"/>
      <c r="FQJ213" s="28"/>
      <c r="FQK213" s="28"/>
      <c r="FQL213" s="28"/>
      <c r="FQM213" s="28"/>
      <c r="FQN213" s="28"/>
      <c r="FQO213" s="28"/>
      <c r="FQP213" s="28"/>
      <c r="FQQ213" s="28"/>
      <c r="FQR213" s="28"/>
      <c r="FQS213" s="28"/>
      <c r="FQT213" s="28"/>
      <c r="FQU213" s="28"/>
      <c r="FQV213" s="28"/>
      <c r="FQW213" s="28"/>
      <c r="FQX213" s="28"/>
      <c r="FQY213" s="28"/>
      <c r="FQZ213" s="28"/>
      <c r="FRA213" s="28"/>
      <c r="FRB213" s="28"/>
      <c r="FRC213" s="28"/>
      <c r="FRD213" s="28"/>
      <c r="FRE213" s="28"/>
      <c r="FRF213" s="28"/>
      <c r="FRG213" s="28"/>
      <c r="FRH213" s="28"/>
      <c r="FRI213" s="28"/>
      <c r="FRJ213" s="28"/>
      <c r="FRK213" s="28"/>
      <c r="FRL213" s="28"/>
      <c r="FRM213" s="28"/>
      <c r="FRN213" s="28"/>
      <c r="FRO213" s="28"/>
      <c r="FRP213" s="28"/>
      <c r="FRQ213" s="28"/>
      <c r="FRR213" s="28"/>
      <c r="FRS213" s="28"/>
      <c r="FRT213" s="28"/>
      <c r="FRU213" s="28"/>
      <c r="FRV213" s="28"/>
      <c r="FRW213" s="28"/>
      <c r="FRX213" s="28"/>
      <c r="FRY213" s="28"/>
      <c r="FRZ213" s="28"/>
      <c r="FSA213" s="28"/>
      <c r="FSB213" s="28"/>
      <c r="FSC213" s="28"/>
      <c r="FSD213" s="28"/>
      <c r="FSE213" s="28"/>
      <c r="FSF213" s="28"/>
      <c r="FSG213" s="28"/>
      <c r="FSH213" s="28"/>
      <c r="FSI213" s="28"/>
      <c r="FSJ213" s="28"/>
      <c r="FSK213" s="28"/>
      <c r="FSL213" s="28"/>
      <c r="FSM213" s="28"/>
      <c r="FSN213" s="28"/>
      <c r="FSO213" s="28"/>
      <c r="FSP213" s="28"/>
      <c r="FSQ213" s="28"/>
      <c r="FSR213" s="28"/>
      <c r="FSS213" s="28"/>
      <c r="FST213" s="28"/>
      <c r="FSU213" s="28"/>
      <c r="FSV213" s="28"/>
      <c r="FSW213" s="28"/>
      <c r="FSX213" s="28"/>
      <c r="FSY213" s="28"/>
      <c r="FSZ213" s="28"/>
      <c r="FTA213" s="28"/>
      <c r="FTB213" s="28"/>
      <c r="FTC213" s="28"/>
      <c r="FTD213" s="28"/>
      <c r="FTE213" s="28"/>
      <c r="FTF213" s="28"/>
      <c r="FTG213" s="28"/>
      <c r="FTH213" s="28"/>
      <c r="FTI213" s="28"/>
      <c r="FTJ213" s="28"/>
      <c r="FTK213" s="28"/>
      <c r="FTL213" s="28"/>
      <c r="FTM213" s="28"/>
      <c r="FTN213" s="28"/>
      <c r="FTO213" s="28"/>
      <c r="FTP213" s="28"/>
      <c r="FTQ213" s="28"/>
      <c r="FTR213" s="28"/>
      <c r="FTS213" s="28"/>
      <c r="FTT213" s="28"/>
      <c r="FTU213" s="28"/>
      <c r="FTV213" s="28"/>
      <c r="FTW213" s="28"/>
      <c r="FTX213" s="28"/>
      <c r="FTY213" s="28"/>
      <c r="FTZ213" s="28"/>
      <c r="FUA213" s="28"/>
      <c r="FUB213" s="28"/>
      <c r="FUC213" s="28"/>
      <c r="FUD213" s="28"/>
      <c r="FUE213" s="28"/>
      <c r="FUF213" s="28"/>
      <c r="FUG213" s="28"/>
      <c r="FUH213" s="28"/>
      <c r="FUI213" s="28"/>
      <c r="FUJ213" s="28"/>
      <c r="FUK213" s="28"/>
      <c r="FUL213" s="28"/>
      <c r="FUM213" s="28"/>
      <c r="FUN213" s="28"/>
      <c r="FUO213" s="28"/>
      <c r="FUP213" s="28"/>
      <c r="FUQ213" s="28"/>
      <c r="FUR213" s="28"/>
      <c r="FUS213" s="28"/>
      <c r="FUT213" s="28"/>
      <c r="FUU213" s="28"/>
      <c r="FUV213" s="28"/>
      <c r="FUW213" s="28"/>
      <c r="FUX213" s="28"/>
      <c r="FUY213" s="28"/>
      <c r="FUZ213" s="28"/>
      <c r="FVA213" s="28"/>
      <c r="FVB213" s="28"/>
      <c r="FVC213" s="28"/>
      <c r="FVD213" s="28"/>
      <c r="FVE213" s="28"/>
      <c r="FVF213" s="28"/>
      <c r="FVG213" s="28"/>
      <c r="FVH213" s="28"/>
      <c r="FVI213" s="28"/>
      <c r="FVJ213" s="28"/>
      <c r="FVK213" s="28"/>
      <c r="FVL213" s="28"/>
      <c r="FVM213" s="28"/>
      <c r="FVN213" s="28"/>
      <c r="FVO213" s="28"/>
      <c r="FVP213" s="28"/>
      <c r="FVQ213" s="28"/>
      <c r="FVR213" s="28"/>
      <c r="FVS213" s="28"/>
      <c r="FVT213" s="28"/>
      <c r="FVU213" s="28"/>
      <c r="FVV213" s="28"/>
      <c r="FVW213" s="28"/>
      <c r="FVX213" s="28"/>
      <c r="FVY213" s="28"/>
      <c r="FVZ213" s="28"/>
      <c r="FWA213" s="28"/>
      <c r="FWB213" s="28"/>
      <c r="FWC213" s="28"/>
      <c r="FWD213" s="28"/>
      <c r="FWE213" s="28"/>
      <c r="FWF213" s="28"/>
      <c r="FWG213" s="28"/>
      <c r="FWH213" s="28"/>
      <c r="FWI213" s="28"/>
      <c r="FWJ213" s="28"/>
      <c r="FWK213" s="28"/>
      <c r="FWL213" s="28"/>
      <c r="FWM213" s="28"/>
      <c r="FWN213" s="28"/>
      <c r="FWO213" s="28"/>
      <c r="FWP213" s="28"/>
      <c r="FWQ213" s="28"/>
      <c r="FWR213" s="28"/>
      <c r="FWS213" s="28"/>
      <c r="FWT213" s="28"/>
      <c r="FWU213" s="28"/>
      <c r="FWV213" s="28"/>
      <c r="FWW213" s="28"/>
      <c r="FWX213" s="28"/>
      <c r="FWY213" s="28"/>
      <c r="FWZ213" s="28"/>
      <c r="FXA213" s="28"/>
      <c r="FXB213" s="28"/>
      <c r="FXC213" s="28"/>
      <c r="FXD213" s="28"/>
      <c r="FXE213" s="28"/>
      <c r="FXF213" s="28"/>
      <c r="FXG213" s="28"/>
      <c r="FXH213" s="28"/>
      <c r="FXI213" s="28"/>
      <c r="FXJ213" s="28"/>
      <c r="FXK213" s="28"/>
      <c r="FXL213" s="28"/>
      <c r="FXM213" s="28"/>
      <c r="FXN213" s="28"/>
      <c r="FXO213" s="28"/>
      <c r="FXP213" s="28"/>
      <c r="FXQ213" s="28"/>
      <c r="FXR213" s="28"/>
      <c r="FXS213" s="28"/>
      <c r="FXT213" s="28"/>
      <c r="FXU213" s="28"/>
      <c r="FXV213" s="28"/>
      <c r="FXW213" s="28"/>
      <c r="FXX213" s="28"/>
      <c r="FXY213" s="28"/>
      <c r="FXZ213" s="28"/>
      <c r="FYA213" s="28"/>
      <c r="FYB213" s="28"/>
      <c r="FYC213" s="28"/>
      <c r="FYD213" s="28"/>
      <c r="FYE213" s="28"/>
      <c r="FYF213" s="28"/>
      <c r="FYG213" s="28"/>
      <c r="FYH213" s="28"/>
      <c r="FYI213" s="28"/>
      <c r="FYJ213" s="28"/>
      <c r="FYK213" s="28"/>
      <c r="FYL213" s="28"/>
      <c r="FYM213" s="28"/>
      <c r="FYN213" s="28"/>
      <c r="FYO213" s="28"/>
      <c r="FYP213" s="28"/>
      <c r="FYQ213" s="28"/>
      <c r="FYR213" s="28"/>
      <c r="FYS213" s="28"/>
      <c r="FYT213" s="28"/>
      <c r="FYU213" s="28"/>
      <c r="FYV213" s="28"/>
      <c r="FYW213" s="28"/>
      <c r="FYX213" s="28"/>
      <c r="FYY213" s="28"/>
      <c r="FYZ213" s="28"/>
      <c r="FZA213" s="28"/>
      <c r="FZB213" s="28"/>
      <c r="FZC213" s="28"/>
      <c r="FZD213" s="28"/>
      <c r="FZE213" s="28"/>
      <c r="FZF213" s="28"/>
      <c r="FZG213" s="28"/>
      <c r="FZH213" s="28"/>
      <c r="FZI213" s="28"/>
      <c r="FZJ213" s="28"/>
      <c r="FZK213" s="28"/>
      <c r="FZL213" s="28"/>
      <c r="FZM213" s="28"/>
      <c r="FZN213" s="28"/>
      <c r="FZO213" s="28"/>
      <c r="FZP213" s="28"/>
      <c r="FZQ213" s="28"/>
      <c r="FZR213" s="28"/>
      <c r="FZS213" s="28"/>
      <c r="FZT213" s="28"/>
      <c r="FZU213" s="28"/>
      <c r="FZV213" s="28"/>
      <c r="FZW213" s="28"/>
      <c r="FZX213" s="28"/>
      <c r="FZY213" s="28"/>
      <c r="FZZ213" s="28"/>
      <c r="GAA213" s="28"/>
      <c r="GAB213" s="28"/>
      <c r="GAC213" s="28"/>
      <c r="GAD213" s="28"/>
      <c r="GAE213" s="28"/>
      <c r="GAF213" s="28"/>
      <c r="GAG213" s="28"/>
      <c r="GAH213" s="28"/>
      <c r="GAI213" s="28"/>
      <c r="GAJ213" s="28"/>
      <c r="GAK213" s="28"/>
      <c r="GAL213" s="28"/>
      <c r="GAM213" s="28"/>
      <c r="GAN213" s="28"/>
      <c r="GAO213" s="28"/>
      <c r="GAP213" s="28"/>
      <c r="GAQ213" s="28"/>
      <c r="GAR213" s="28"/>
      <c r="GAS213" s="28"/>
      <c r="GAT213" s="28"/>
      <c r="GAU213" s="28"/>
      <c r="GAV213" s="28"/>
      <c r="GAW213" s="28"/>
      <c r="GAX213" s="28"/>
      <c r="GAY213" s="28"/>
      <c r="GAZ213" s="28"/>
      <c r="GBA213" s="28"/>
      <c r="GBB213" s="28"/>
      <c r="GBC213" s="28"/>
      <c r="GBD213" s="28"/>
      <c r="GBE213" s="28"/>
      <c r="GBF213" s="28"/>
      <c r="GBG213" s="28"/>
      <c r="GBH213" s="28"/>
      <c r="GBI213" s="28"/>
      <c r="GBJ213" s="28"/>
      <c r="GBK213" s="28"/>
      <c r="GBL213" s="28"/>
      <c r="GBM213" s="28"/>
      <c r="GBN213" s="28"/>
      <c r="GBO213" s="28"/>
      <c r="GBP213" s="28"/>
      <c r="GBQ213" s="28"/>
      <c r="GBR213" s="28"/>
      <c r="GBS213" s="28"/>
      <c r="GBT213" s="28"/>
      <c r="GBU213" s="28"/>
      <c r="GBV213" s="28"/>
      <c r="GBW213" s="28"/>
      <c r="GBX213" s="28"/>
      <c r="GBY213" s="28"/>
      <c r="GBZ213" s="28"/>
      <c r="GCA213" s="28"/>
      <c r="GCB213" s="28"/>
      <c r="GCC213" s="28"/>
      <c r="GCD213" s="28"/>
      <c r="GCE213" s="28"/>
      <c r="GCF213" s="28"/>
      <c r="GCG213" s="28"/>
      <c r="GCH213" s="28"/>
      <c r="GCI213" s="28"/>
      <c r="GCJ213" s="28"/>
      <c r="GCK213" s="28"/>
      <c r="GCL213" s="28"/>
      <c r="GCM213" s="28"/>
      <c r="GCN213" s="28"/>
      <c r="GCO213" s="28"/>
      <c r="GCP213" s="28"/>
      <c r="GCQ213" s="28"/>
      <c r="GCR213" s="28"/>
      <c r="GCS213" s="28"/>
      <c r="GCT213" s="28"/>
      <c r="GCU213" s="28"/>
      <c r="GCV213" s="28"/>
      <c r="GCW213" s="28"/>
      <c r="GCX213" s="28"/>
      <c r="GCY213" s="28"/>
      <c r="GCZ213" s="28"/>
      <c r="GDA213" s="28"/>
      <c r="GDB213" s="28"/>
      <c r="GDC213" s="28"/>
      <c r="GDD213" s="28"/>
      <c r="GDE213" s="28"/>
      <c r="GDF213" s="28"/>
      <c r="GDG213" s="28"/>
      <c r="GDH213" s="28"/>
      <c r="GDI213" s="28"/>
      <c r="GDJ213" s="28"/>
      <c r="GDK213" s="28"/>
      <c r="GDL213" s="28"/>
      <c r="GDM213" s="28"/>
      <c r="GDN213" s="28"/>
      <c r="GDO213" s="28"/>
      <c r="GDP213" s="28"/>
      <c r="GDQ213" s="28"/>
      <c r="GDR213" s="28"/>
      <c r="GDS213" s="28"/>
      <c r="GDT213" s="28"/>
      <c r="GDU213" s="28"/>
      <c r="GDV213" s="28"/>
      <c r="GDW213" s="28"/>
      <c r="GDX213" s="28"/>
      <c r="GDY213" s="28"/>
      <c r="GDZ213" s="28"/>
      <c r="GEA213" s="28"/>
      <c r="GEB213" s="28"/>
      <c r="GEC213" s="28"/>
      <c r="GED213" s="28"/>
      <c r="GEE213" s="28"/>
      <c r="GEF213" s="28"/>
      <c r="GEG213" s="28"/>
      <c r="GEH213" s="28"/>
      <c r="GEI213" s="28"/>
      <c r="GEJ213" s="28"/>
      <c r="GEK213" s="28"/>
      <c r="GEL213" s="28"/>
      <c r="GEM213" s="28"/>
      <c r="GEN213" s="28"/>
      <c r="GEO213" s="28"/>
      <c r="GEP213" s="28"/>
      <c r="GEQ213" s="28"/>
      <c r="GER213" s="28"/>
      <c r="GES213" s="28"/>
      <c r="GET213" s="28"/>
      <c r="GEU213" s="28"/>
      <c r="GEV213" s="28"/>
      <c r="GEW213" s="28"/>
      <c r="GEX213" s="28"/>
      <c r="GEY213" s="28"/>
      <c r="GEZ213" s="28"/>
      <c r="GFA213" s="28"/>
      <c r="GFB213" s="28"/>
      <c r="GFC213" s="28"/>
      <c r="GFD213" s="28"/>
      <c r="GFE213" s="28"/>
      <c r="GFF213" s="28"/>
      <c r="GFG213" s="28"/>
      <c r="GFH213" s="28"/>
      <c r="GFI213" s="28"/>
      <c r="GFJ213" s="28"/>
      <c r="GFK213" s="28"/>
      <c r="GFL213" s="28"/>
      <c r="GFM213" s="28"/>
      <c r="GFN213" s="28"/>
      <c r="GFO213" s="28"/>
      <c r="GFP213" s="28"/>
      <c r="GFQ213" s="28"/>
      <c r="GFR213" s="28"/>
      <c r="GFS213" s="28"/>
      <c r="GFT213" s="28"/>
      <c r="GFU213" s="28"/>
      <c r="GFV213" s="28"/>
      <c r="GFW213" s="28"/>
      <c r="GFX213" s="28"/>
      <c r="GFY213" s="28"/>
      <c r="GFZ213" s="28"/>
      <c r="GGA213" s="28"/>
      <c r="GGB213" s="28"/>
      <c r="GGC213" s="28"/>
      <c r="GGD213" s="28"/>
      <c r="GGE213" s="28"/>
      <c r="GGF213" s="28"/>
      <c r="GGG213" s="28"/>
      <c r="GGH213" s="28"/>
      <c r="GGI213" s="28"/>
      <c r="GGJ213" s="28"/>
      <c r="GGK213" s="28"/>
      <c r="GGL213" s="28"/>
      <c r="GGM213" s="28"/>
      <c r="GGN213" s="28"/>
      <c r="GGO213" s="28"/>
      <c r="GGP213" s="28"/>
      <c r="GGQ213" s="28"/>
      <c r="GGR213" s="28"/>
      <c r="GGS213" s="28"/>
      <c r="GGT213" s="28"/>
      <c r="GGU213" s="28"/>
      <c r="GGV213" s="28"/>
      <c r="GGW213" s="28"/>
      <c r="GGX213" s="28"/>
      <c r="GGY213" s="28"/>
      <c r="GGZ213" s="28"/>
      <c r="GHA213" s="28"/>
      <c r="GHB213" s="28"/>
      <c r="GHC213" s="28"/>
      <c r="GHD213" s="28"/>
      <c r="GHE213" s="28"/>
      <c r="GHF213" s="28"/>
      <c r="GHG213" s="28"/>
      <c r="GHH213" s="28"/>
      <c r="GHI213" s="28"/>
      <c r="GHJ213" s="28"/>
      <c r="GHK213" s="28"/>
      <c r="GHL213" s="28"/>
      <c r="GHM213" s="28"/>
      <c r="GHN213" s="28"/>
      <c r="GHO213" s="28"/>
      <c r="GHP213" s="28"/>
      <c r="GHQ213" s="28"/>
      <c r="GHR213" s="28"/>
      <c r="GHS213" s="28"/>
      <c r="GHT213" s="28"/>
      <c r="GHU213" s="28"/>
      <c r="GHV213" s="28"/>
      <c r="GHW213" s="28"/>
      <c r="GHX213" s="28"/>
      <c r="GHY213" s="28"/>
      <c r="GHZ213" s="28"/>
      <c r="GIA213" s="28"/>
      <c r="GIB213" s="28"/>
      <c r="GIC213" s="28"/>
      <c r="GID213" s="28"/>
      <c r="GIE213" s="28"/>
      <c r="GIF213" s="28"/>
      <c r="GIG213" s="28"/>
      <c r="GIH213" s="28"/>
      <c r="GII213" s="28"/>
      <c r="GIJ213" s="28"/>
      <c r="GIK213" s="28"/>
      <c r="GIL213" s="28"/>
      <c r="GIM213" s="28"/>
      <c r="GIN213" s="28"/>
      <c r="GIO213" s="28"/>
      <c r="GIP213" s="28"/>
      <c r="GIQ213" s="28"/>
      <c r="GIR213" s="28"/>
      <c r="GIS213" s="28"/>
      <c r="GIT213" s="28"/>
      <c r="GIU213" s="28"/>
      <c r="GIV213" s="28"/>
      <c r="GIW213" s="28"/>
      <c r="GIX213" s="28"/>
      <c r="GIY213" s="28"/>
      <c r="GIZ213" s="28"/>
      <c r="GJA213" s="28"/>
      <c r="GJB213" s="28"/>
      <c r="GJC213" s="28"/>
      <c r="GJD213" s="28"/>
      <c r="GJE213" s="28"/>
      <c r="GJF213" s="28"/>
      <c r="GJG213" s="28"/>
      <c r="GJH213" s="28"/>
      <c r="GJI213" s="28"/>
      <c r="GJJ213" s="28"/>
      <c r="GJK213" s="28"/>
      <c r="GJL213" s="28"/>
      <c r="GJM213" s="28"/>
      <c r="GJN213" s="28"/>
      <c r="GJO213" s="28"/>
      <c r="GJP213" s="28"/>
      <c r="GJQ213" s="28"/>
      <c r="GJR213" s="28"/>
      <c r="GJS213" s="28"/>
      <c r="GJT213" s="28"/>
      <c r="GJU213" s="28"/>
      <c r="GJV213" s="28"/>
      <c r="GJW213" s="28"/>
      <c r="GJX213" s="28"/>
      <c r="GJY213" s="28"/>
      <c r="GJZ213" s="28"/>
      <c r="GKA213" s="28"/>
      <c r="GKB213" s="28"/>
      <c r="GKC213" s="28"/>
      <c r="GKD213" s="28"/>
      <c r="GKE213" s="28"/>
      <c r="GKF213" s="28"/>
      <c r="GKG213" s="28"/>
      <c r="GKH213" s="28"/>
      <c r="GKI213" s="28"/>
      <c r="GKJ213" s="28"/>
      <c r="GKK213" s="28"/>
      <c r="GKL213" s="28"/>
      <c r="GKM213" s="28"/>
      <c r="GKN213" s="28"/>
      <c r="GKO213" s="28"/>
      <c r="GKP213" s="28"/>
      <c r="GKQ213" s="28"/>
      <c r="GKR213" s="28"/>
      <c r="GKS213" s="28"/>
      <c r="GKT213" s="28"/>
      <c r="GKU213" s="28"/>
      <c r="GKV213" s="28"/>
      <c r="GKW213" s="28"/>
      <c r="GKX213" s="28"/>
      <c r="GKY213" s="28"/>
      <c r="GKZ213" s="28"/>
      <c r="GLA213" s="28"/>
      <c r="GLB213" s="28"/>
      <c r="GLC213" s="28"/>
      <c r="GLD213" s="28"/>
      <c r="GLE213" s="28"/>
      <c r="GLF213" s="28"/>
      <c r="GLG213" s="28"/>
      <c r="GLH213" s="28"/>
      <c r="GLI213" s="28"/>
      <c r="GLJ213" s="28"/>
      <c r="GLK213" s="28"/>
    </row>
    <row r="214" spans="1:5055" s="28" customFormat="1">
      <c r="A214" s="78">
        <v>211</v>
      </c>
      <c r="B214" s="77" t="s">
        <v>174</v>
      </c>
      <c r="C214" s="33" t="s">
        <v>75</v>
      </c>
      <c r="D214" s="31" t="s">
        <v>178</v>
      </c>
      <c r="E214" s="7">
        <v>46199</v>
      </c>
      <c r="F214" s="11" t="s">
        <v>282</v>
      </c>
      <c r="G214" s="11" t="s">
        <v>281</v>
      </c>
      <c r="H214" s="4" t="s">
        <v>0</v>
      </c>
      <c r="I214" s="5">
        <v>4758</v>
      </c>
      <c r="J214" s="6" t="s">
        <v>87</v>
      </c>
      <c r="K214" s="2">
        <v>8000</v>
      </c>
      <c r="L214" s="2">
        <f t="shared" ref="L214" si="339">+K214*0.975</f>
        <v>7800</v>
      </c>
      <c r="M214" s="12">
        <f t="shared" ref="M214" si="340">+L214-K214</f>
        <v>-200</v>
      </c>
      <c r="N214" s="21">
        <f t="shared" ref="N214" si="341">+L214/K214</f>
        <v>0.97499999999999998</v>
      </c>
      <c r="O214" s="56">
        <f>E214+P214+1+4</f>
        <v>46224.830729492147</v>
      </c>
      <c r="P214" s="25">
        <f t="shared" ref="P214:P215" si="342">+L214/Q214</f>
        <v>20.830729492146816</v>
      </c>
      <c r="Q214" s="51">
        <f t="shared" ref="Q214" si="343">630*40/60*0.975*0.9144</f>
        <v>374.4468</v>
      </c>
    </row>
    <row r="215" spans="1:5055" s="38" customFormat="1">
      <c r="A215" s="78">
        <v>212</v>
      </c>
      <c r="B215" s="98" t="s">
        <v>208</v>
      </c>
      <c r="C215" s="33" t="s">
        <v>184</v>
      </c>
      <c r="D215" s="30" t="s">
        <v>178</v>
      </c>
      <c r="E215" s="7">
        <v>46219</v>
      </c>
      <c r="F215" s="86" t="s">
        <v>209</v>
      </c>
      <c r="G215" s="86" t="s">
        <v>210</v>
      </c>
      <c r="H215" s="86" t="s">
        <v>185</v>
      </c>
      <c r="I215" s="5">
        <v>6700</v>
      </c>
      <c r="J215" s="6" t="s">
        <v>133</v>
      </c>
      <c r="K215" s="2">
        <v>6000</v>
      </c>
      <c r="L215" s="25">
        <f t="shared" ref="L215" si="344">+K215*0.95</f>
        <v>5700</v>
      </c>
      <c r="M215" s="2">
        <f>+L215-K215</f>
        <v>-300</v>
      </c>
      <c r="N215" s="21">
        <f>+L215/K215</f>
        <v>0.95</v>
      </c>
      <c r="O215" s="8">
        <f>+E215+P215+1+4</f>
        <v>46244.689981319905</v>
      </c>
      <c r="P215" s="24">
        <f t="shared" si="342"/>
        <v>20.689981319902582</v>
      </c>
      <c r="Q215" s="51">
        <f t="shared" ref="Q215" si="345">555*40/70*0.95*0.9144</f>
        <v>275.49565714285711</v>
      </c>
      <c r="R215"/>
      <c r="S215"/>
      <c r="T215" s="28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  <c r="ALQ215"/>
      <c r="ALR215"/>
      <c r="ALS215"/>
      <c r="ALT215"/>
      <c r="ALU215"/>
      <c r="ALV215"/>
      <c r="ALW215"/>
      <c r="ALX215"/>
      <c r="ALY215"/>
      <c r="ALZ215"/>
      <c r="AMA215"/>
      <c r="AMB215"/>
      <c r="AMC215"/>
      <c r="AMD215"/>
      <c r="AME215"/>
      <c r="AMF215"/>
      <c r="AMG215"/>
      <c r="AMH215"/>
      <c r="AMI215"/>
      <c r="AMJ215"/>
      <c r="AMK215"/>
      <c r="AML215"/>
      <c r="AMM215"/>
      <c r="AMN215"/>
      <c r="AMO215"/>
      <c r="AMP215"/>
      <c r="AMQ215"/>
      <c r="AMR215"/>
      <c r="AMS215"/>
      <c r="AMT215"/>
      <c r="AMU215"/>
      <c r="AMV215"/>
      <c r="AMW215"/>
      <c r="AMX215"/>
      <c r="AMY215"/>
      <c r="AMZ215"/>
      <c r="ANA215"/>
      <c r="ANB215"/>
      <c r="ANC215"/>
      <c r="AND215"/>
      <c r="ANE215"/>
      <c r="ANF215"/>
      <c r="ANG215"/>
      <c r="ANH215"/>
      <c r="ANI215"/>
      <c r="ANJ215"/>
      <c r="ANK215"/>
      <c r="ANL215"/>
      <c r="ANM215"/>
      <c r="ANN215"/>
      <c r="ANO215"/>
      <c r="ANP215"/>
      <c r="ANQ215"/>
      <c r="ANR215"/>
      <c r="ANS215"/>
      <c r="ANT215"/>
      <c r="ANU215"/>
      <c r="ANV215"/>
      <c r="ANW215"/>
      <c r="ANX215"/>
      <c r="ANY215"/>
      <c r="ANZ215"/>
      <c r="AOA215"/>
      <c r="AOB215"/>
      <c r="AOC215"/>
      <c r="AOD215"/>
      <c r="AOE215"/>
      <c r="AOF215"/>
      <c r="AOG215"/>
      <c r="AOH215"/>
      <c r="AOI215"/>
      <c r="AOJ215"/>
      <c r="AOK215"/>
      <c r="AOL215"/>
      <c r="AOM215"/>
      <c r="AON215"/>
      <c r="AOO215"/>
      <c r="AOP215"/>
      <c r="AOQ215"/>
      <c r="AOR215"/>
      <c r="AOS215"/>
      <c r="AOT215"/>
      <c r="AOU215"/>
      <c r="AOV215"/>
      <c r="AOW215"/>
      <c r="AOX215"/>
      <c r="AOY215"/>
      <c r="AOZ215"/>
      <c r="APA215"/>
      <c r="APB215"/>
      <c r="APC215"/>
      <c r="APD215"/>
      <c r="APE215"/>
      <c r="APF215"/>
      <c r="APG215"/>
      <c r="APH215"/>
      <c r="API215"/>
      <c r="APJ215"/>
      <c r="APK215"/>
      <c r="APL215"/>
      <c r="APM215"/>
      <c r="APN215"/>
      <c r="APO215"/>
      <c r="APP215"/>
      <c r="APQ215"/>
      <c r="APR215"/>
      <c r="APS215"/>
      <c r="APT215"/>
      <c r="APU215"/>
      <c r="APV215"/>
      <c r="APW215"/>
      <c r="APX215"/>
      <c r="APY215"/>
      <c r="APZ215"/>
      <c r="AQA215"/>
      <c r="AQB215"/>
      <c r="AQC215"/>
      <c r="AQD215"/>
      <c r="AQE215"/>
      <c r="AQF215"/>
      <c r="AQG215"/>
      <c r="AQH215"/>
      <c r="AQI215"/>
      <c r="AQJ215"/>
      <c r="AQK215"/>
      <c r="AQL215"/>
      <c r="AQM215"/>
      <c r="AQN215"/>
      <c r="AQO215"/>
      <c r="AQP215"/>
      <c r="AQQ215"/>
      <c r="AQR215"/>
      <c r="AQS215"/>
      <c r="AQT215"/>
      <c r="AQU215"/>
      <c r="AQV215"/>
      <c r="AQW215"/>
      <c r="AQX215"/>
      <c r="AQY215"/>
      <c r="AQZ215"/>
      <c r="ARA215"/>
      <c r="ARB215"/>
      <c r="ARC215"/>
      <c r="ARD215"/>
      <c r="ARE215"/>
      <c r="ARF215"/>
      <c r="ARG215"/>
      <c r="ARH215"/>
      <c r="ARI215"/>
      <c r="ARJ215"/>
      <c r="ARK215"/>
      <c r="ARL215"/>
      <c r="ARM215"/>
      <c r="ARN215"/>
      <c r="ARO215"/>
      <c r="ARP215"/>
      <c r="ARQ215"/>
      <c r="ARR215"/>
      <c r="ARS215"/>
      <c r="ART215"/>
      <c r="ARU215"/>
      <c r="ARV215"/>
      <c r="ARW215"/>
      <c r="ARX215"/>
      <c r="ARY215"/>
      <c r="ARZ215"/>
      <c r="ASA215"/>
      <c r="ASB215"/>
      <c r="ASC215"/>
      <c r="ASD215"/>
      <c r="ASE215"/>
      <c r="ASF215"/>
      <c r="ASG215"/>
      <c r="ASH215"/>
      <c r="ASI215"/>
      <c r="ASJ215"/>
      <c r="ASK215"/>
      <c r="ASL215"/>
      <c r="ASM215"/>
      <c r="ASN215"/>
      <c r="ASO215"/>
      <c r="ASP215"/>
      <c r="ASQ215"/>
      <c r="ASR215"/>
      <c r="ASS215"/>
      <c r="AST215"/>
      <c r="ASU215"/>
      <c r="ASV215"/>
      <c r="ASW215"/>
      <c r="ASX215"/>
      <c r="ASY215"/>
      <c r="ASZ215"/>
      <c r="ATA215"/>
      <c r="ATB215"/>
      <c r="ATC215"/>
      <c r="ATD215"/>
      <c r="ATE215"/>
      <c r="ATF215"/>
      <c r="ATG215"/>
      <c r="ATH215"/>
      <c r="ATI215"/>
      <c r="ATJ215"/>
      <c r="ATK215"/>
      <c r="ATL215"/>
      <c r="ATM215"/>
      <c r="ATN215"/>
      <c r="ATO215"/>
      <c r="ATP215"/>
      <c r="ATQ215"/>
      <c r="ATR215"/>
      <c r="ATS215"/>
      <c r="ATT215"/>
      <c r="ATU215"/>
      <c r="ATV215"/>
      <c r="ATW215"/>
      <c r="ATX215"/>
      <c r="ATY215"/>
      <c r="ATZ215"/>
      <c r="AUA215"/>
      <c r="AUB215"/>
      <c r="AUC215"/>
      <c r="AUD215"/>
      <c r="AUE215"/>
      <c r="AUF215"/>
      <c r="AUG215"/>
      <c r="AUH215"/>
      <c r="AUI215"/>
      <c r="AUJ215"/>
      <c r="AUK215"/>
      <c r="AUL215"/>
      <c r="AUM215"/>
      <c r="AUN215"/>
      <c r="AUO215"/>
      <c r="AUP215"/>
      <c r="AUQ215"/>
      <c r="AUR215"/>
      <c r="AUS215"/>
      <c r="AUT215"/>
      <c r="AUU215"/>
      <c r="AUV215"/>
      <c r="AUW215"/>
      <c r="AUX215"/>
      <c r="AUY215"/>
      <c r="AUZ215"/>
      <c r="AVA215"/>
      <c r="AVB215"/>
      <c r="AVC215"/>
      <c r="AVD215"/>
      <c r="AVE215"/>
      <c r="AVF215"/>
      <c r="AVG215"/>
      <c r="AVH215"/>
      <c r="AVI215"/>
      <c r="AVJ215"/>
      <c r="AVK215"/>
      <c r="AVL215"/>
      <c r="AVM215"/>
      <c r="AVN215"/>
      <c r="AVO215"/>
      <c r="AVP215"/>
      <c r="AVQ215"/>
      <c r="AVR215"/>
      <c r="AVS215"/>
      <c r="AVT215"/>
      <c r="AVU215"/>
      <c r="AVV215"/>
      <c r="AVW215"/>
      <c r="AVX215"/>
      <c r="AVY215"/>
      <c r="AVZ215"/>
      <c r="AWA215"/>
      <c r="AWB215"/>
      <c r="AWC215"/>
      <c r="AWD215"/>
      <c r="AWE215"/>
      <c r="AWF215"/>
      <c r="AWG215"/>
      <c r="AWH215"/>
      <c r="AWI215"/>
      <c r="AWJ215"/>
      <c r="AWK215"/>
      <c r="AWL215"/>
      <c r="AWM215"/>
      <c r="AWN215"/>
      <c r="AWO215"/>
      <c r="AWP215"/>
      <c r="AWQ215"/>
      <c r="AWR215"/>
      <c r="AWS215"/>
      <c r="AWT215"/>
      <c r="AWU215"/>
      <c r="AWV215"/>
      <c r="AWW215"/>
      <c r="AWX215"/>
      <c r="AWY215"/>
      <c r="AWZ215"/>
      <c r="AXA215"/>
      <c r="AXB215"/>
      <c r="AXC215"/>
      <c r="AXD215"/>
      <c r="AXE215"/>
      <c r="AXF215"/>
      <c r="AXG215"/>
      <c r="AXH215"/>
      <c r="AXI215"/>
      <c r="AXJ215"/>
      <c r="AXK215"/>
      <c r="AXL215"/>
      <c r="AXM215"/>
      <c r="AXN215"/>
      <c r="AXO215"/>
      <c r="AXP215"/>
      <c r="AXQ215"/>
      <c r="AXR215"/>
      <c r="AXS215"/>
      <c r="AXT215"/>
      <c r="AXU215"/>
      <c r="AXV215"/>
      <c r="AXW215"/>
      <c r="AXX215"/>
      <c r="AXY215"/>
      <c r="AXZ215"/>
      <c r="AYA215"/>
      <c r="AYB215"/>
      <c r="AYC215"/>
      <c r="AYD215"/>
      <c r="AYE215"/>
      <c r="AYF215"/>
      <c r="AYG215"/>
      <c r="AYH215"/>
      <c r="AYI215"/>
      <c r="AYJ215"/>
      <c r="AYK215"/>
      <c r="AYL215"/>
      <c r="AYM215"/>
      <c r="AYN215"/>
      <c r="AYO215"/>
      <c r="AYP215"/>
      <c r="AYQ215"/>
      <c r="AYR215"/>
      <c r="AYS215"/>
      <c r="AYT215"/>
      <c r="AYU215"/>
      <c r="AYV215"/>
      <c r="AYW215"/>
      <c r="AYX215"/>
      <c r="AYY215"/>
      <c r="AYZ215"/>
      <c r="AZA215"/>
      <c r="AZB215"/>
      <c r="AZC215"/>
      <c r="AZD215"/>
      <c r="AZE215"/>
      <c r="AZF215"/>
      <c r="AZG215"/>
      <c r="AZH215"/>
      <c r="AZI215"/>
      <c r="AZJ215"/>
      <c r="AZK215"/>
      <c r="AZL215"/>
      <c r="AZM215"/>
      <c r="AZN215"/>
      <c r="AZO215"/>
      <c r="AZP215"/>
      <c r="AZQ215"/>
      <c r="AZR215"/>
      <c r="AZS215"/>
      <c r="AZT215"/>
      <c r="AZU215"/>
      <c r="AZV215"/>
      <c r="AZW215"/>
      <c r="AZX215"/>
      <c r="AZY215"/>
      <c r="AZZ215"/>
      <c r="BAA215"/>
      <c r="BAB215"/>
      <c r="BAC215"/>
      <c r="BAD215"/>
      <c r="BAE215"/>
      <c r="BAF215"/>
      <c r="BAG215"/>
      <c r="BAH215"/>
      <c r="BAI215"/>
      <c r="BAJ215"/>
      <c r="BAK215"/>
      <c r="BAL215"/>
      <c r="BAM215"/>
      <c r="BAN215"/>
      <c r="BAO215"/>
      <c r="BAP215"/>
      <c r="BAQ215"/>
      <c r="BAR215"/>
      <c r="BAS215"/>
      <c r="BAT215"/>
      <c r="BAU215"/>
      <c r="BAV215"/>
      <c r="BAW215"/>
      <c r="BAX215"/>
      <c r="BAY215"/>
      <c r="BAZ215"/>
      <c r="BBA215"/>
      <c r="BBB215"/>
      <c r="BBC215"/>
      <c r="BBD215"/>
      <c r="BBE215"/>
      <c r="BBF215"/>
      <c r="BBG215"/>
      <c r="BBH215"/>
      <c r="BBI215"/>
      <c r="BBJ215"/>
      <c r="BBK215"/>
      <c r="BBL215"/>
      <c r="BBM215"/>
      <c r="BBN215"/>
      <c r="BBO215"/>
      <c r="BBP215"/>
      <c r="BBQ215"/>
      <c r="BBR215"/>
      <c r="BBS215"/>
      <c r="BBT215"/>
      <c r="BBU215"/>
      <c r="BBV215"/>
      <c r="BBW215"/>
      <c r="BBX215"/>
      <c r="BBY215"/>
      <c r="BBZ215"/>
      <c r="BCA215"/>
      <c r="BCB215"/>
      <c r="BCC215"/>
      <c r="BCD215"/>
      <c r="BCE215"/>
      <c r="BCF215"/>
      <c r="BCG215"/>
      <c r="BCH215"/>
      <c r="BCI215"/>
      <c r="BCJ215"/>
      <c r="BCK215"/>
      <c r="BCL215"/>
      <c r="BCM215"/>
      <c r="BCN215"/>
      <c r="BCO215"/>
      <c r="BCP215"/>
      <c r="BCQ215"/>
      <c r="BCR215"/>
      <c r="BCS215"/>
      <c r="BCT215"/>
      <c r="BCU215"/>
      <c r="BCV215"/>
      <c r="BCW215"/>
      <c r="BCX215"/>
      <c r="BCY215"/>
      <c r="BCZ215"/>
      <c r="BDA215"/>
      <c r="BDB215"/>
      <c r="BDC215"/>
      <c r="BDD215"/>
      <c r="BDE215"/>
      <c r="BDF215"/>
      <c r="BDG215"/>
      <c r="BDH215"/>
      <c r="BDI215"/>
      <c r="BDJ215"/>
      <c r="BDK215"/>
      <c r="BDL215"/>
      <c r="BDM215"/>
      <c r="BDN215"/>
      <c r="BDO215"/>
      <c r="BDP215"/>
      <c r="BDQ215"/>
      <c r="BDR215"/>
      <c r="BDS215"/>
      <c r="BDT215"/>
      <c r="BDU215"/>
      <c r="BDV215"/>
      <c r="BDW215"/>
      <c r="BDX215"/>
      <c r="BDY215"/>
      <c r="BDZ215"/>
      <c r="BEA215"/>
      <c r="BEB215"/>
      <c r="BEC215"/>
      <c r="BED215"/>
      <c r="BEE215"/>
      <c r="BEF215"/>
      <c r="BEG215"/>
      <c r="BEH215"/>
      <c r="BEI215"/>
      <c r="BEJ215"/>
      <c r="BEK215"/>
      <c r="BEL215"/>
      <c r="BEM215"/>
      <c r="BEN215"/>
      <c r="BEO215"/>
      <c r="BEP215"/>
      <c r="BEQ215"/>
      <c r="BER215"/>
      <c r="BES215"/>
      <c r="BET215"/>
      <c r="BEU215"/>
      <c r="BEV215"/>
      <c r="BEW215"/>
      <c r="BEX215"/>
      <c r="BEY215"/>
      <c r="BEZ215"/>
      <c r="BFA215"/>
      <c r="BFB215"/>
      <c r="BFC215"/>
      <c r="BFD215"/>
      <c r="BFE215"/>
      <c r="BFF215"/>
      <c r="BFG215"/>
      <c r="BFH215"/>
      <c r="BFI215"/>
      <c r="BFJ215"/>
      <c r="BFK215"/>
      <c r="BFL215"/>
      <c r="BFM215"/>
      <c r="BFN215"/>
      <c r="BFO215"/>
      <c r="BFP215"/>
      <c r="BFQ215"/>
      <c r="BFR215"/>
      <c r="BFS215"/>
      <c r="BFT215"/>
      <c r="BFU215"/>
      <c r="BFV215"/>
      <c r="BFW215"/>
      <c r="BFX215"/>
      <c r="BFY215"/>
      <c r="BFZ215"/>
      <c r="BGA215"/>
      <c r="BGB215"/>
      <c r="BGC215"/>
      <c r="BGD215"/>
      <c r="BGE215"/>
      <c r="BGF215"/>
      <c r="BGG215"/>
      <c r="BGH215"/>
      <c r="BGI215"/>
      <c r="BGJ215"/>
      <c r="BGK215"/>
      <c r="BGL215"/>
      <c r="BGM215"/>
      <c r="BGN215"/>
      <c r="BGO215"/>
      <c r="BGP215"/>
      <c r="BGQ215"/>
      <c r="BGR215"/>
      <c r="BGS215"/>
      <c r="BGT215"/>
      <c r="BGU215"/>
      <c r="BGV215"/>
      <c r="BGW215"/>
      <c r="BGX215"/>
      <c r="BGY215"/>
      <c r="BGZ215"/>
      <c r="BHA215"/>
      <c r="BHB215"/>
      <c r="BHC215"/>
      <c r="BHD215"/>
      <c r="BHE215"/>
      <c r="BHF215"/>
      <c r="BHG215"/>
      <c r="BHH215"/>
      <c r="BHI215"/>
      <c r="BHJ215"/>
      <c r="BHK215"/>
      <c r="BHL215"/>
      <c r="BHM215"/>
      <c r="BHN215"/>
      <c r="BHO215"/>
      <c r="BHP215"/>
      <c r="BHQ215"/>
      <c r="BHR215"/>
      <c r="BHS215"/>
      <c r="BHT215"/>
      <c r="BHU215"/>
      <c r="BHV215"/>
      <c r="BHW215"/>
      <c r="BHX215"/>
      <c r="BHY215"/>
      <c r="BHZ215"/>
      <c r="BIA215"/>
      <c r="BIB215"/>
      <c r="BIC215"/>
      <c r="BID215"/>
      <c r="BIE215"/>
      <c r="BIF215"/>
      <c r="BIG215"/>
      <c r="BIH215"/>
      <c r="BII215"/>
      <c r="BIJ215"/>
      <c r="BIK215"/>
      <c r="BIL215"/>
      <c r="BIM215"/>
      <c r="BIN215"/>
      <c r="BIO215"/>
      <c r="BIP215"/>
      <c r="BIQ215"/>
      <c r="BIR215"/>
      <c r="BIS215"/>
      <c r="BIT215"/>
      <c r="BIU215"/>
      <c r="BIV215"/>
      <c r="BIW215"/>
      <c r="BIX215"/>
      <c r="BIY215"/>
      <c r="BIZ215"/>
      <c r="BJA215"/>
      <c r="BJB215"/>
      <c r="BJC215"/>
      <c r="BJD215"/>
      <c r="BJE215"/>
      <c r="BJF215"/>
      <c r="BJG215"/>
      <c r="BJH215"/>
      <c r="BJI215"/>
      <c r="BJJ215"/>
      <c r="BJK215"/>
      <c r="BJL215"/>
      <c r="BJM215"/>
      <c r="BJN215"/>
      <c r="BJO215"/>
      <c r="BJP215"/>
      <c r="BJQ215"/>
      <c r="BJR215"/>
      <c r="BJS215"/>
      <c r="BJT215"/>
      <c r="BJU215"/>
      <c r="BJV215"/>
      <c r="BJW215"/>
      <c r="BJX215"/>
      <c r="BJY215"/>
      <c r="BJZ215"/>
      <c r="BKA215"/>
      <c r="BKB215"/>
      <c r="BKC215"/>
      <c r="BKD215"/>
      <c r="BKE215"/>
      <c r="BKF215"/>
      <c r="BKG215"/>
      <c r="BKH215"/>
      <c r="BKI215"/>
      <c r="BKJ215"/>
      <c r="BKK215"/>
      <c r="BKL215"/>
      <c r="BKM215"/>
      <c r="BKN215"/>
      <c r="BKO215"/>
      <c r="BKP215"/>
      <c r="BKQ215"/>
      <c r="BKR215"/>
      <c r="BKS215"/>
      <c r="BKT215"/>
      <c r="BKU215"/>
      <c r="BKV215"/>
      <c r="BKW215"/>
      <c r="BKX215"/>
      <c r="BKY215"/>
      <c r="BKZ215"/>
      <c r="BLA215"/>
      <c r="BLB215"/>
      <c r="BLC215"/>
      <c r="BLD215"/>
      <c r="BLE215"/>
      <c r="BLF215"/>
      <c r="BLG215"/>
      <c r="BLH215"/>
      <c r="BLI215"/>
      <c r="BLJ215"/>
      <c r="BLK215"/>
      <c r="BLL215"/>
      <c r="BLM215"/>
      <c r="BLN215"/>
      <c r="BLO215"/>
      <c r="BLP215"/>
      <c r="BLQ215"/>
      <c r="BLR215"/>
      <c r="BLS215"/>
      <c r="BLT215"/>
      <c r="BLU215"/>
      <c r="BLV215"/>
      <c r="BLW215"/>
      <c r="BLX215"/>
      <c r="BLY215"/>
      <c r="BLZ215"/>
      <c r="BMA215"/>
      <c r="BMB215"/>
      <c r="BMC215"/>
      <c r="BMD215"/>
      <c r="BME215"/>
      <c r="BMF215"/>
      <c r="BMG215"/>
      <c r="BMH215"/>
      <c r="BMI215"/>
      <c r="BMJ215"/>
      <c r="BMK215"/>
      <c r="BML215"/>
      <c r="BMM215"/>
      <c r="BMN215"/>
      <c r="BMO215"/>
      <c r="BMP215"/>
      <c r="BMQ215"/>
      <c r="BMR215"/>
      <c r="BMS215"/>
      <c r="BMT215"/>
      <c r="BMU215"/>
      <c r="BMV215"/>
      <c r="BMW215"/>
      <c r="BMX215"/>
      <c r="BMY215"/>
      <c r="BMZ215"/>
      <c r="BNA215"/>
      <c r="BNB215"/>
      <c r="BNC215"/>
      <c r="BND215"/>
      <c r="BNE215"/>
      <c r="BNF215"/>
      <c r="BNG215"/>
      <c r="BNH215"/>
      <c r="BNI215"/>
      <c r="BNJ215"/>
      <c r="BNK215"/>
      <c r="BNL215"/>
      <c r="BNM215"/>
      <c r="BNN215"/>
      <c r="BNO215"/>
      <c r="BNP215"/>
      <c r="BNQ215"/>
      <c r="BNR215"/>
      <c r="BNS215"/>
      <c r="BNT215"/>
      <c r="BNU215"/>
      <c r="BNV215"/>
      <c r="BNW215"/>
      <c r="BNX215"/>
      <c r="BNY215"/>
      <c r="BNZ215"/>
      <c r="BOA215"/>
      <c r="BOB215"/>
      <c r="BOC215"/>
      <c r="BOD215"/>
      <c r="BOE215"/>
      <c r="BOF215"/>
      <c r="BOG215"/>
      <c r="BOH215"/>
      <c r="BOI215"/>
      <c r="BOJ215"/>
      <c r="BOK215"/>
      <c r="BOL215"/>
      <c r="BOM215"/>
      <c r="BON215"/>
      <c r="BOO215"/>
      <c r="BOP215"/>
      <c r="BOQ215"/>
      <c r="BOR215"/>
      <c r="BOS215"/>
      <c r="BOT215"/>
      <c r="BOU215"/>
      <c r="BOV215"/>
      <c r="BOW215"/>
      <c r="BOX215"/>
      <c r="BOY215"/>
      <c r="BOZ215"/>
      <c r="BPA215"/>
      <c r="BPB215"/>
      <c r="BPC215"/>
      <c r="BPD215"/>
      <c r="BPE215"/>
      <c r="BPF215"/>
      <c r="BPG215"/>
      <c r="BPH215"/>
      <c r="BPI215"/>
      <c r="BPJ215"/>
      <c r="BPK215"/>
      <c r="BPL215"/>
      <c r="BPM215"/>
      <c r="BPN215"/>
      <c r="BPO215"/>
      <c r="BPP215"/>
      <c r="BPQ215"/>
      <c r="BPR215"/>
      <c r="BPS215"/>
      <c r="BPT215"/>
      <c r="BPU215"/>
      <c r="BPV215"/>
      <c r="BPW215"/>
      <c r="BPX215"/>
      <c r="BPY215"/>
      <c r="BPZ215"/>
      <c r="BQA215"/>
      <c r="BQB215"/>
      <c r="BQC215"/>
      <c r="BQD215"/>
      <c r="BQE215"/>
      <c r="BQF215"/>
      <c r="BQG215"/>
      <c r="BQH215"/>
      <c r="BQI215"/>
      <c r="BQJ215"/>
      <c r="BQK215"/>
      <c r="BQL215"/>
      <c r="BQM215"/>
      <c r="BQN215"/>
      <c r="BQO215"/>
      <c r="BQP215"/>
      <c r="BQQ215"/>
      <c r="BQR215"/>
      <c r="BQS215"/>
      <c r="BQT215"/>
      <c r="BQU215"/>
      <c r="BQV215"/>
      <c r="BQW215"/>
      <c r="BQX215"/>
      <c r="BQY215"/>
      <c r="BQZ215"/>
      <c r="BRA215"/>
      <c r="BRB215"/>
      <c r="BRC215"/>
      <c r="BRD215"/>
      <c r="BRE215"/>
      <c r="BRF215"/>
      <c r="BRG215"/>
      <c r="BRH215"/>
      <c r="BRI215"/>
      <c r="BRJ215"/>
      <c r="BRK215"/>
      <c r="BRL215"/>
      <c r="BRM215"/>
      <c r="BRN215"/>
      <c r="BRO215"/>
      <c r="BRP215"/>
      <c r="BRQ215"/>
      <c r="BRR215"/>
      <c r="BRS215"/>
      <c r="BRT215"/>
      <c r="BRU215"/>
      <c r="BRV215"/>
      <c r="BRW215"/>
      <c r="BRX215"/>
      <c r="BRY215"/>
      <c r="BRZ215"/>
      <c r="BSA215"/>
      <c r="BSB215"/>
      <c r="BSC215"/>
      <c r="BSD215"/>
      <c r="BSE215"/>
      <c r="BSF215"/>
      <c r="BSG215"/>
      <c r="BSH215"/>
      <c r="BSI215"/>
      <c r="BSJ215"/>
      <c r="BSK215"/>
      <c r="BSL215"/>
      <c r="BSM215"/>
      <c r="BSN215"/>
      <c r="BSO215"/>
      <c r="BSP215"/>
      <c r="BSQ215"/>
      <c r="BSR215"/>
      <c r="BSS215"/>
      <c r="BST215"/>
      <c r="BSU215"/>
      <c r="BSV215"/>
      <c r="BSW215"/>
      <c r="BSX215"/>
      <c r="BSY215"/>
      <c r="BSZ215"/>
      <c r="BTA215"/>
      <c r="BTB215"/>
      <c r="BTC215"/>
      <c r="BTD215"/>
      <c r="BTE215"/>
      <c r="BTF215"/>
      <c r="BTG215"/>
      <c r="BTH215"/>
      <c r="BTI215"/>
      <c r="BTJ215"/>
      <c r="BTK215"/>
      <c r="BTL215"/>
      <c r="BTM215"/>
      <c r="BTN215"/>
      <c r="BTO215"/>
      <c r="BTP215"/>
      <c r="BTQ215"/>
      <c r="BTR215"/>
      <c r="BTS215"/>
      <c r="BTT215"/>
      <c r="BTU215"/>
      <c r="BTV215"/>
      <c r="BTW215"/>
      <c r="BTX215"/>
      <c r="BTY215"/>
      <c r="BTZ215"/>
      <c r="BUA215"/>
      <c r="BUB215"/>
      <c r="BUC215"/>
      <c r="BUD215"/>
      <c r="BUE215"/>
      <c r="BUF215"/>
      <c r="BUG215"/>
      <c r="BUH215"/>
      <c r="BUI215"/>
      <c r="BUJ215"/>
      <c r="BUK215"/>
      <c r="BUL215"/>
      <c r="BUM215"/>
      <c r="BUN215"/>
      <c r="BUO215"/>
      <c r="BUP215"/>
      <c r="BUQ215"/>
      <c r="BUR215"/>
      <c r="BUS215"/>
      <c r="BUT215"/>
      <c r="BUU215"/>
      <c r="BUV215"/>
      <c r="BUW215"/>
      <c r="BUX215"/>
      <c r="BUY215"/>
      <c r="BUZ215"/>
      <c r="BVA215"/>
      <c r="BVB215"/>
      <c r="BVC215"/>
      <c r="BVD215"/>
      <c r="BVE215"/>
      <c r="BVF215"/>
      <c r="BVG215"/>
      <c r="BVH215"/>
      <c r="BVI215"/>
      <c r="BVJ215"/>
      <c r="BVK215"/>
      <c r="BVL215"/>
      <c r="BVM215"/>
      <c r="BVN215"/>
      <c r="BVO215"/>
      <c r="BVP215"/>
      <c r="BVQ215"/>
      <c r="BVR215"/>
      <c r="BVS215"/>
      <c r="BVT215"/>
      <c r="BVU215"/>
      <c r="BVV215"/>
      <c r="BVW215"/>
      <c r="BVX215"/>
      <c r="BVY215"/>
      <c r="BVZ215"/>
      <c r="BWA215"/>
      <c r="BWB215"/>
      <c r="BWC215"/>
      <c r="BWD215"/>
      <c r="BWE215"/>
      <c r="BWF215"/>
      <c r="BWG215"/>
      <c r="BWH215"/>
      <c r="BWI215"/>
      <c r="BWJ215"/>
      <c r="BWK215"/>
      <c r="BWL215"/>
      <c r="BWM215"/>
      <c r="BWN215"/>
      <c r="BWO215"/>
      <c r="BWP215"/>
      <c r="BWQ215"/>
      <c r="BWR215"/>
      <c r="BWS215"/>
      <c r="BWT215"/>
      <c r="BWU215"/>
      <c r="BWV215"/>
      <c r="BWW215"/>
      <c r="BWX215"/>
      <c r="BWY215"/>
      <c r="BWZ215"/>
      <c r="BXA215"/>
      <c r="BXB215"/>
      <c r="BXC215"/>
      <c r="BXD215"/>
      <c r="BXE215"/>
      <c r="BXF215"/>
      <c r="BXG215"/>
      <c r="BXH215"/>
      <c r="BXI215"/>
      <c r="BXJ215"/>
      <c r="BXK215"/>
      <c r="BXL215"/>
      <c r="BXM215"/>
      <c r="BXN215"/>
      <c r="BXO215"/>
      <c r="BXP215"/>
      <c r="BXQ215"/>
      <c r="BXR215"/>
      <c r="BXS215"/>
      <c r="BXT215"/>
      <c r="BXU215"/>
      <c r="BXV215"/>
      <c r="BXW215"/>
      <c r="BXX215"/>
      <c r="BXY215"/>
      <c r="BXZ215"/>
      <c r="BYA215"/>
      <c r="BYB215"/>
      <c r="BYC215"/>
      <c r="BYD215"/>
      <c r="BYE215"/>
      <c r="BYF215"/>
      <c r="BYG215"/>
      <c r="BYH215"/>
      <c r="BYI215"/>
      <c r="BYJ215"/>
      <c r="BYK215"/>
      <c r="BYL215"/>
      <c r="BYM215"/>
      <c r="BYN215"/>
      <c r="BYO215"/>
      <c r="BYP215"/>
      <c r="BYQ215"/>
      <c r="BYR215"/>
      <c r="BYS215"/>
      <c r="BYT215"/>
      <c r="BYU215"/>
      <c r="BYV215"/>
      <c r="BYW215"/>
      <c r="BYX215"/>
      <c r="BYY215"/>
      <c r="BYZ215"/>
      <c r="BZA215"/>
      <c r="BZB215"/>
      <c r="BZC215"/>
      <c r="BZD215"/>
      <c r="BZE215"/>
      <c r="BZF215"/>
      <c r="BZG215"/>
      <c r="BZH215"/>
      <c r="BZI215"/>
      <c r="BZJ215"/>
      <c r="BZK215"/>
      <c r="BZL215"/>
      <c r="BZM215"/>
      <c r="BZN215"/>
      <c r="BZO215"/>
      <c r="BZP215"/>
      <c r="BZQ215"/>
      <c r="BZR215"/>
      <c r="BZS215"/>
      <c r="BZT215"/>
      <c r="BZU215"/>
      <c r="BZV215"/>
      <c r="BZW215"/>
      <c r="BZX215"/>
      <c r="BZY215"/>
      <c r="BZZ215"/>
      <c r="CAA215"/>
      <c r="CAB215"/>
      <c r="CAC215"/>
      <c r="CAD215"/>
      <c r="CAE215"/>
      <c r="CAF215"/>
      <c r="CAG215"/>
      <c r="CAH215"/>
      <c r="CAI215"/>
      <c r="CAJ215"/>
      <c r="CAK215"/>
      <c r="CAL215"/>
      <c r="CAM215"/>
      <c r="CAN215"/>
      <c r="CAO215"/>
      <c r="CAP215"/>
      <c r="CAQ215"/>
      <c r="CAR215"/>
      <c r="CAS215"/>
      <c r="CAT215"/>
      <c r="CAU215"/>
      <c r="CAV215"/>
      <c r="CAW215"/>
      <c r="CAX215"/>
      <c r="CAY215"/>
      <c r="CAZ215"/>
      <c r="CBA215"/>
      <c r="CBB215"/>
      <c r="CBC215"/>
      <c r="CBD215"/>
      <c r="CBE215"/>
      <c r="CBF215"/>
      <c r="CBG215"/>
      <c r="CBH215"/>
      <c r="CBI215"/>
      <c r="CBJ215"/>
      <c r="CBK215"/>
      <c r="CBL215"/>
      <c r="CBM215"/>
      <c r="CBN215"/>
      <c r="CBO215"/>
      <c r="CBP215"/>
      <c r="CBQ215"/>
      <c r="CBR215"/>
      <c r="CBS215"/>
      <c r="CBT215"/>
      <c r="CBU215"/>
      <c r="CBV215"/>
      <c r="CBW215"/>
      <c r="CBX215"/>
      <c r="CBY215"/>
      <c r="CBZ215"/>
      <c r="CCA215"/>
      <c r="CCB215"/>
      <c r="CCC215"/>
      <c r="CCD215"/>
      <c r="CCE215"/>
      <c r="CCF215"/>
      <c r="CCG215"/>
      <c r="CCH215"/>
      <c r="CCI215"/>
      <c r="CCJ215"/>
      <c r="CCK215"/>
      <c r="CCL215"/>
      <c r="CCM215"/>
      <c r="CCN215"/>
      <c r="CCO215"/>
      <c r="CCP215"/>
      <c r="CCQ215"/>
      <c r="CCR215"/>
      <c r="CCS215"/>
      <c r="CCT215"/>
      <c r="CCU215"/>
      <c r="CCV215"/>
      <c r="CCW215"/>
      <c r="CCX215"/>
      <c r="CCY215"/>
      <c r="CCZ215"/>
      <c r="CDA215"/>
      <c r="CDB215"/>
      <c r="CDC215"/>
      <c r="CDD215"/>
      <c r="CDE215"/>
      <c r="CDF215"/>
      <c r="CDG215"/>
      <c r="CDH215"/>
      <c r="CDI215"/>
      <c r="CDJ215"/>
      <c r="CDK215"/>
      <c r="CDL215"/>
      <c r="CDM215"/>
      <c r="CDN215"/>
      <c r="CDO215"/>
      <c r="CDP215"/>
      <c r="CDQ215"/>
      <c r="CDR215"/>
      <c r="CDS215"/>
      <c r="CDT215"/>
      <c r="CDU215"/>
      <c r="CDV215"/>
      <c r="CDW215"/>
      <c r="CDX215"/>
      <c r="CDY215"/>
      <c r="CDZ215"/>
      <c r="CEA215"/>
      <c r="CEB215"/>
      <c r="CEC215"/>
      <c r="CED215"/>
      <c r="CEE215"/>
      <c r="CEF215"/>
      <c r="CEG215"/>
      <c r="CEH215"/>
      <c r="CEI215"/>
      <c r="CEJ215"/>
      <c r="CEK215"/>
      <c r="CEL215"/>
      <c r="CEM215"/>
      <c r="CEN215"/>
      <c r="CEO215"/>
      <c r="CEP215"/>
      <c r="CEQ215"/>
      <c r="CER215"/>
      <c r="CES215"/>
      <c r="CET215"/>
      <c r="CEU215"/>
      <c r="CEV215"/>
      <c r="CEW215"/>
      <c r="CEX215"/>
      <c r="CEY215"/>
      <c r="CEZ215"/>
      <c r="CFA215"/>
      <c r="CFB215"/>
      <c r="CFC215"/>
      <c r="CFD215"/>
      <c r="CFE215"/>
      <c r="CFF215"/>
      <c r="CFG215"/>
      <c r="CFH215"/>
      <c r="CFI215"/>
      <c r="CFJ215"/>
      <c r="CFK215"/>
      <c r="CFL215"/>
      <c r="CFM215"/>
      <c r="CFN215"/>
      <c r="CFO215"/>
      <c r="CFP215"/>
      <c r="CFQ215"/>
      <c r="CFR215"/>
      <c r="CFS215"/>
      <c r="CFT215"/>
      <c r="CFU215"/>
      <c r="CFV215"/>
      <c r="CFW215"/>
      <c r="CFX215"/>
      <c r="CFY215"/>
      <c r="CFZ215"/>
      <c r="CGA215"/>
      <c r="CGB215"/>
      <c r="CGC215"/>
      <c r="CGD215"/>
      <c r="CGE215"/>
      <c r="CGF215"/>
      <c r="CGG215"/>
      <c r="CGH215"/>
      <c r="CGI215"/>
      <c r="CGJ215"/>
      <c r="CGK215"/>
      <c r="CGL215"/>
      <c r="CGM215"/>
      <c r="CGN215"/>
      <c r="CGO215"/>
      <c r="CGP215"/>
      <c r="CGQ215"/>
      <c r="CGR215"/>
      <c r="CGS215"/>
      <c r="CGT215"/>
      <c r="CGU215"/>
      <c r="CGV215"/>
      <c r="CGW215"/>
      <c r="CGX215"/>
      <c r="CGY215"/>
      <c r="CGZ215"/>
      <c r="CHA215"/>
      <c r="CHB215"/>
      <c r="CHC215"/>
      <c r="CHD215"/>
      <c r="CHE215"/>
      <c r="CHF215"/>
      <c r="CHG215"/>
      <c r="CHH215"/>
      <c r="CHI215"/>
      <c r="CHJ215"/>
      <c r="CHK215"/>
      <c r="CHL215"/>
      <c r="CHM215"/>
      <c r="CHN215"/>
      <c r="CHO215"/>
      <c r="CHP215"/>
      <c r="CHQ215"/>
      <c r="CHR215"/>
      <c r="CHS215"/>
      <c r="CHT215"/>
      <c r="CHU215"/>
      <c r="CHV215"/>
      <c r="CHW215"/>
      <c r="CHX215"/>
      <c r="CHY215"/>
      <c r="CHZ215"/>
      <c r="CIA215"/>
      <c r="CIB215"/>
      <c r="CIC215"/>
      <c r="CID215"/>
      <c r="CIE215"/>
      <c r="CIF215"/>
      <c r="CIG215"/>
      <c r="CIH215"/>
      <c r="CII215"/>
      <c r="CIJ215"/>
      <c r="CIK215"/>
      <c r="CIL215"/>
      <c r="CIM215"/>
      <c r="CIN215"/>
      <c r="CIO215"/>
      <c r="CIP215"/>
      <c r="CIQ215"/>
      <c r="CIR215"/>
      <c r="CIS215"/>
      <c r="CIT215"/>
      <c r="CIU215"/>
      <c r="CIV215"/>
      <c r="CIW215"/>
      <c r="CIX215"/>
      <c r="CIY215"/>
      <c r="CIZ215"/>
      <c r="CJA215"/>
      <c r="CJB215"/>
      <c r="CJC215"/>
      <c r="CJD215"/>
      <c r="CJE215"/>
      <c r="CJF215"/>
      <c r="CJG215"/>
      <c r="CJH215"/>
      <c r="CJI215"/>
      <c r="CJJ215"/>
      <c r="CJK215"/>
      <c r="CJL215"/>
      <c r="CJM215"/>
      <c r="CJN215"/>
      <c r="CJO215"/>
      <c r="CJP215"/>
      <c r="CJQ215"/>
      <c r="CJR215"/>
      <c r="CJS215"/>
      <c r="CJT215"/>
      <c r="CJU215"/>
      <c r="CJV215"/>
      <c r="CJW215"/>
      <c r="CJX215"/>
      <c r="CJY215"/>
      <c r="CJZ215"/>
      <c r="CKA215"/>
      <c r="CKB215"/>
      <c r="CKC215"/>
      <c r="CKD215"/>
      <c r="CKE215"/>
      <c r="CKF215"/>
      <c r="CKG215"/>
      <c r="CKH215"/>
      <c r="CKI215"/>
      <c r="CKJ215"/>
      <c r="CKK215"/>
      <c r="CKL215"/>
      <c r="CKM215"/>
      <c r="CKN215"/>
      <c r="CKO215"/>
      <c r="CKP215"/>
      <c r="CKQ215"/>
      <c r="CKR215"/>
      <c r="CKS215"/>
      <c r="CKT215"/>
      <c r="CKU215"/>
      <c r="CKV215"/>
      <c r="CKW215"/>
      <c r="CKX215"/>
      <c r="CKY215"/>
      <c r="CKZ215"/>
      <c r="CLA215"/>
      <c r="CLB215"/>
      <c r="CLC215"/>
      <c r="CLD215"/>
      <c r="CLE215"/>
      <c r="CLF215"/>
      <c r="CLG215"/>
      <c r="CLH215"/>
      <c r="CLI215"/>
      <c r="CLJ215"/>
      <c r="CLK215"/>
      <c r="CLL215"/>
      <c r="CLM215"/>
      <c r="CLN215"/>
      <c r="CLO215"/>
      <c r="CLP215"/>
      <c r="CLQ215"/>
      <c r="CLR215"/>
      <c r="CLS215"/>
      <c r="CLT215"/>
      <c r="CLU215"/>
      <c r="CLV215"/>
      <c r="CLW215"/>
      <c r="CLX215"/>
      <c r="CLY215"/>
      <c r="CLZ215"/>
      <c r="CMA215"/>
      <c r="CMB215"/>
      <c r="CMC215"/>
      <c r="CMD215"/>
      <c r="CME215"/>
      <c r="CMF215"/>
      <c r="CMG215"/>
      <c r="CMH215"/>
      <c r="CMI215"/>
      <c r="CMJ215"/>
      <c r="CMK215"/>
      <c r="CML215"/>
      <c r="CMM215"/>
      <c r="CMN215"/>
      <c r="CMO215"/>
      <c r="CMP215"/>
      <c r="CMQ215"/>
      <c r="CMR215"/>
      <c r="CMS215"/>
      <c r="CMT215"/>
      <c r="CMU215"/>
      <c r="CMV215"/>
      <c r="CMW215"/>
      <c r="CMX215"/>
      <c r="CMY215"/>
      <c r="CMZ215"/>
      <c r="CNA215"/>
      <c r="CNB215"/>
      <c r="CNC215"/>
      <c r="CND215"/>
      <c r="CNE215"/>
      <c r="CNF215"/>
      <c r="CNG215"/>
      <c r="CNH215"/>
      <c r="CNI215"/>
      <c r="CNJ215"/>
      <c r="CNK215"/>
      <c r="CNL215"/>
      <c r="CNM215"/>
      <c r="CNN215"/>
      <c r="CNO215"/>
      <c r="CNP215"/>
      <c r="CNQ215"/>
      <c r="CNR215"/>
      <c r="CNS215"/>
      <c r="CNT215"/>
      <c r="CNU215"/>
      <c r="CNV215"/>
      <c r="CNW215"/>
      <c r="CNX215"/>
      <c r="CNY215"/>
      <c r="CNZ215"/>
      <c r="COA215"/>
      <c r="COB215"/>
      <c r="COC215"/>
      <c r="COD215"/>
      <c r="COE215"/>
      <c r="COF215"/>
      <c r="COG215"/>
      <c r="COH215"/>
      <c r="COI215"/>
      <c r="COJ215"/>
      <c r="COK215"/>
      <c r="COL215"/>
      <c r="COM215"/>
      <c r="CON215"/>
      <c r="COO215"/>
      <c r="COP215"/>
      <c r="COQ215"/>
      <c r="COR215"/>
      <c r="COS215"/>
      <c r="COT215"/>
      <c r="COU215"/>
      <c r="COV215"/>
      <c r="COW215"/>
      <c r="COX215"/>
      <c r="COY215"/>
      <c r="COZ215"/>
      <c r="CPA215"/>
      <c r="CPB215"/>
      <c r="CPC215"/>
      <c r="CPD215"/>
      <c r="CPE215"/>
      <c r="CPF215"/>
      <c r="CPG215"/>
      <c r="CPH215"/>
      <c r="CPI215"/>
      <c r="CPJ215"/>
      <c r="CPK215"/>
      <c r="CPL215"/>
      <c r="CPM215"/>
      <c r="CPN215"/>
      <c r="CPO215"/>
      <c r="CPP215"/>
      <c r="CPQ215"/>
      <c r="CPR215"/>
      <c r="CPS215"/>
      <c r="CPT215"/>
      <c r="CPU215"/>
      <c r="CPV215"/>
      <c r="CPW215"/>
      <c r="CPX215"/>
      <c r="CPY215"/>
      <c r="CPZ215"/>
      <c r="CQA215"/>
      <c r="CQB215"/>
      <c r="CQC215"/>
      <c r="CQD215"/>
      <c r="CQE215"/>
      <c r="CQF215"/>
      <c r="CQG215"/>
      <c r="CQH215"/>
      <c r="CQI215"/>
      <c r="CQJ215"/>
      <c r="CQK215"/>
      <c r="CQL215"/>
      <c r="CQM215"/>
      <c r="CQN215"/>
      <c r="CQO215"/>
      <c r="CQP215"/>
      <c r="CQQ215"/>
      <c r="CQR215"/>
      <c r="CQS215"/>
      <c r="CQT215"/>
      <c r="CQU215"/>
      <c r="CQV215"/>
      <c r="CQW215"/>
      <c r="CQX215"/>
      <c r="CQY215"/>
      <c r="CQZ215"/>
      <c r="CRA215"/>
      <c r="CRB215"/>
      <c r="CRC215"/>
      <c r="CRD215"/>
      <c r="CRE215"/>
      <c r="CRF215"/>
      <c r="CRG215"/>
      <c r="CRH215"/>
      <c r="CRI215"/>
      <c r="CRJ215"/>
      <c r="CRK215"/>
      <c r="CRL215"/>
      <c r="CRM215"/>
      <c r="CRN215"/>
      <c r="CRO215"/>
      <c r="CRP215"/>
      <c r="CRQ215"/>
      <c r="CRR215"/>
      <c r="CRS215"/>
      <c r="CRT215"/>
      <c r="CRU215"/>
      <c r="CRV215"/>
      <c r="CRW215"/>
      <c r="CRX215"/>
      <c r="CRY215"/>
      <c r="CRZ215"/>
      <c r="CSA215"/>
      <c r="CSB215"/>
      <c r="CSC215"/>
      <c r="CSD215"/>
      <c r="CSE215"/>
      <c r="CSF215"/>
      <c r="CSG215"/>
      <c r="CSH215"/>
      <c r="CSI215"/>
      <c r="CSJ215"/>
      <c r="CSK215"/>
      <c r="CSL215"/>
      <c r="CSM215"/>
      <c r="CSN215"/>
      <c r="CSO215"/>
      <c r="CSP215"/>
      <c r="CSQ215"/>
      <c r="CSR215"/>
      <c r="CSS215"/>
      <c r="CST215"/>
      <c r="CSU215"/>
      <c r="CSV215"/>
      <c r="CSW215"/>
      <c r="CSX215"/>
      <c r="CSY215"/>
      <c r="CSZ215"/>
      <c r="CTA215"/>
      <c r="CTB215"/>
      <c r="CTC215"/>
      <c r="CTD215"/>
      <c r="CTE215"/>
      <c r="CTF215"/>
      <c r="CTG215"/>
      <c r="CTH215"/>
      <c r="CTI215"/>
      <c r="CTJ215"/>
      <c r="CTK215"/>
      <c r="CTL215"/>
      <c r="CTM215"/>
      <c r="CTN215"/>
      <c r="CTO215"/>
      <c r="CTP215"/>
      <c r="CTQ215"/>
      <c r="CTR215"/>
      <c r="CTS215"/>
      <c r="CTT215"/>
      <c r="CTU215"/>
      <c r="CTV215"/>
      <c r="CTW215"/>
      <c r="CTX215"/>
      <c r="CTY215"/>
      <c r="CTZ215"/>
      <c r="CUA215"/>
      <c r="CUB215"/>
      <c r="CUC215"/>
      <c r="CUD215"/>
      <c r="CUE215"/>
      <c r="CUF215"/>
      <c r="CUG215"/>
      <c r="CUH215"/>
      <c r="CUI215"/>
      <c r="CUJ215"/>
      <c r="CUK215"/>
      <c r="CUL215"/>
      <c r="CUM215"/>
      <c r="CUN215"/>
      <c r="CUO215"/>
      <c r="CUP215"/>
      <c r="CUQ215"/>
      <c r="CUR215"/>
      <c r="CUS215"/>
      <c r="CUT215"/>
      <c r="CUU215"/>
      <c r="CUV215"/>
      <c r="CUW215"/>
      <c r="CUX215"/>
      <c r="CUY215"/>
      <c r="CUZ215"/>
      <c r="CVA215"/>
      <c r="CVB215"/>
      <c r="CVC215"/>
      <c r="CVD215"/>
      <c r="CVE215"/>
      <c r="CVF215"/>
      <c r="CVG215"/>
      <c r="CVH215"/>
      <c r="CVI215"/>
      <c r="CVJ215"/>
      <c r="CVK215"/>
      <c r="CVL215"/>
      <c r="CVM215"/>
      <c r="CVN215"/>
      <c r="CVO215"/>
      <c r="CVP215"/>
      <c r="CVQ215"/>
      <c r="CVR215"/>
      <c r="CVS215"/>
      <c r="CVT215"/>
      <c r="CVU215"/>
      <c r="CVV215"/>
      <c r="CVW215"/>
      <c r="CVX215"/>
      <c r="CVY215"/>
      <c r="CVZ215"/>
      <c r="CWA215"/>
      <c r="CWB215"/>
      <c r="CWC215"/>
      <c r="CWD215"/>
      <c r="CWE215"/>
      <c r="CWF215"/>
      <c r="CWG215"/>
      <c r="CWH215"/>
      <c r="CWI215"/>
      <c r="CWJ215"/>
      <c r="CWK215"/>
      <c r="CWL215"/>
      <c r="CWM215"/>
      <c r="CWN215"/>
      <c r="CWO215"/>
      <c r="CWP215"/>
      <c r="CWQ215"/>
      <c r="CWR215"/>
      <c r="CWS215"/>
      <c r="CWT215"/>
      <c r="CWU215"/>
      <c r="CWV215"/>
      <c r="CWW215"/>
      <c r="CWX215"/>
      <c r="CWY215"/>
      <c r="CWZ215"/>
      <c r="CXA215"/>
      <c r="CXB215"/>
      <c r="CXC215"/>
      <c r="CXD215"/>
      <c r="CXE215"/>
      <c r="CXF215"/>
      <c r="CXG215"/>
      <c r="CXH215"/>
      <c r="CXI215"/>
      <c r="CXJ215"/>
      <c r="CXK215"/>
      <c r="CXL215"/>
      <c r="CXM215"/>
      <c r="CXN215"/>
      <c r="CXO215"/>
      <c r="CXP215"/>
      <c r="CXQ215"/>
      <c r="CXR215"/>
      <c r="CXS215"/>
      <c r="CXT215"/>
      <c r="CXU215"/>
      <c r="CXV215"/>
      <c r="CXW215"/>
      <c r="CXX215"/>
      <c r="CXY215"/>
      <c r="CXZ215"/>
      <c r="CYA215"/>
      <c r="CYB215"/>
      <c r="CYC215"/>
      <c r="CYD215"/>
      <c r="CYE215"/>
      <c r="CYF215"/>
      <c r="CYG215"/>
      <c r="CYH215"/>
      <c r="CYI215"/>
      <c r="CYJ215"/>
      <c r="CYK215"/>
      <c r="CYL215"/>
      <c r="CYM215"/>
      <c r="CYN215"/>
      <c r="CYO215"/>
      <c r="CYP215"/>
      <c r="CYQ215"/>
      <c r="CYR215"/>
      <c r="CYS215"/>
      <c r="CYT215"/>
      <c r="CYU215"/>
      <c r="CYV215"/>
      <c r="CYW215"/>
      <c r="CYX215"/>
      <c r="CYY215"/>
      <c r="CYZ215"/>
      <c r="CZA215"/>
      <c r="CZB215"/>
      <c r="CZC215"/>
      <c r="CZD215"/>
      <c r="CZE215"/>
      <c r="CZF215"/>
      <c r="CZG215"/>
      <c r="CZH215"/>
      <c r="CZI215"/>
      <c r="CZJ215"/>
      <c r="CZK215"/>
      <c r="CZL215"/>
      <c r="CZM215"/>
      <c r="CZN215"/>
      <c r="CZO215"/>
      <c r="CZP215"/>
      <c r="CZQ215"/>
      <c r="CZR215"/>
      <c r="CZS215"/>
      <c r="CZT215"/>
      <c r="CZU215"/>
      <c r="CZV215"/>
      <c r="CZW215"/>
      <c r="CZX215"/>
      <c r="CZY215"/>
      <c r="CZZ215"/>
      <c r="DAA215"/>
      <c r="DAB215"/>
      <c r="DAC215"/>
      <c r="DAD215"/>
      <c r="DAE215"/>
      <c r="DAF215"/>
      <c r="DAG215"/>
      <c r="DAH215"/>
      <c r="DAI215"/>
      <c r="DAJ215"/>
      <c r="DAK215"/>
      <c r="DAL215"/>
      <c r="DAM215"/>
      <c r="DAN215"/>
      <c r="DAO215"/>
      <c r="DAP215"/>
      <c r="DAQ215"/>
      <c r="DAR215"/>
      <c r="DAS215"/>
      <c r="DAT215"/>
      <c r="DAU215"/>
      <c r="DAV215"/>
      <c r="DAW215"/>
      <c r="DAX215"/>
      <c r="DAY215"/>
      <c r="DAZ215"/>
      <c r="DBA215"/>
      <c r="DBB215"/>
      <c r="DBC215"/>
      <c r="DBD215"/>
      <c r="DBE215"/>
      <c r="DBF215"/>
      <c r="DBG215"/>
      <c r="DBH215"/>
      <c r="DBI215"/>
      <c r="DBJ215"/>
      <c r="DBK215"/>
      <c r="DBL215"/>
      <c r="DBM215"/>
      <c r="DBN215"/>
      <c r="DBO215"/>
      <c r="DBP215"/>
      <c r="DBQ215"/>
      <c r="DBR215"/>
      <c r="DBS215"/>
      <c r="DBT215"/>
      <c r="DBU215"/>
      <c r="DBV215"/>
      <c r="DBW215"/>
      <c r="DBX215"/>
      <c r="DBY215"/>
      <c r="DBZ215"/>
      <c r="DCA215"/>
      <c r="DCB215"/>
      <c r="DCC215"/>
      <c r="DCD215"/>
      <c r="DCE215"/>
      <c r="DCF215"/>
      <c r="DCG215"/>
      <c r="DCH215"/>
      <c r="DCI215"/>
      <c r="DCJ215"/>
      <c r="DCK215"/>
      <c r="DCL215"/>
      <c r="DCM215"/>
      <c r="DCN215"/>
      <c r="DCO215"/>
      <c r="DCP215"/>
      <c r="DCQ215"/>
      <c r="DCR215"/>
      <c r="DCS215"/>
      <c r="DCT215"/>
      <c r="DCU215"/>
      <c r="DCV215"/>
      <c r="DCW215"/>
      <c r="DCX215"/>
      <c r="DCY215"/>
      <c r="DCZ215"/>
      <c r="DDA215"/>
      <c r="DDB215"/>
      <c r="DDC215"/>
      <c r="DDD215"/>
      <c r="DDE215"/>
      <c r="DDF215"/>
      <c r="DDG215"/>
      <c r="DDH215"/>
      <c r="DDI215"/>
      <c r="DDJ215"/>
      <c r="DDK215"/>
      <c r="DDL215"/>
      <c r="DDM215"/>
      <c r="DDN215"/>
      <c r="DDO215"/>
      <c r="DDP215"/>
      <c r="DDQ215"/>
      <c r="DDR215"/>
      <c r="DDS215"/>
      <c r="DDT215"/>
      <c r="DDU215"/>
      <c r="DDV215"/>
      <c r="DDW215"/>
      <c r="DDX215"/>
      <c r="DDY215"/>
      <c r="DDZ215"/>
      <c r="DEA215"/>
      <c r="DEB215"/>
      <c r="DEC215"/>
      <c r="DED215"/>
      <c r="DEE215"/>
      <c r="DEF215"/>
      <c r="DEG215"/>
      <c r="DEH215"/>
      <c r="DEI215"/>
      <c r="DEJ215"/>
      <c r="DEK215"/>
      <c r="DEL215"/>
      <c r="DEM215"/>
      <c r="DEN215"/>
      <c r="DEO215"/>
      <c r="DEP215"/>
      <c r="DEQ215"/>
      <c r="DER215"/>
      <c r="DES215"/>
      <c r="DET215"/>
      <c r="DEU215"/>
      <c r="DEV215"/>
      <c r="DEW215"/>
      <c r="DEX215"/>
      <c r="DEY215"/>
      <c r="DEZ215"/>
      <c r="DFA215"/>
      <c r="DFB215"/>
      <c r="DFC215"/>
      <c r="DFD215"/>
      <c r="DFE215"/>
      <c r="DFF215"/>
      <c r="DFG215"/>
      <c r="DFH215"/>
      <c r="DFI215"/>
      <c r="DFJ215"/>
      <c r="DFK215"/>
      <c r="DFL215"/>
      <c r="DFM215"/>
      <c r="DFN215"/>
      <c r="DFO215"/>
      <c r="DFP215"/>
      <c r="DFQ215"/>
      <c r="DFR215"/>
      <c r="DFS215"/>
      <c r="DFT215"/>
      <c r="DFU215"/>
      <c r="DFV215"/>
      <c r="DFW215"/>
      <c r="DFX215"/>
      <c r="DFY215"/>
      <c r="DFZ215"/>
      <c r="DGA215"/>
      <c r="DGB215"/>
      <c r="DGC215"/>
      <c r="DGD215"/>
      <c r="DGE215"/>
      <c r="DGF215"/>
      <c r="DGG215"/>
      <c r="DGH215"/>
      <c r="DGI215"/>
      <c r="DGJ215"/>
      <c r="DGK215"/>
      <c r="DGL215"/>
      <c r="DGM215"/>
      <c r="DGN215"/>
      <c r="DGO215"/>
      <c r="DGP215"/>
      <c r="DGQ215"/>
      <c r="DGR215"/>
      <c r="DGS215"/>
      <c r="DGT215"/>
      <c r="DGU215"/>
      <c r="DGV215"/>
      <c r="DGW215"/>
      <c r="DGX215"/>
      <c r="DGY215"/>
      <c r="DGZ215"/>
      <c r="DHA215"/>
      <c r="DHB215"/>
      <c r="DHC215"/>
      <c r="DHD215"/>
      <c r="DHE215"/>
      <c r="DHF215"/>
      <c r="DHG215"/>
      <c r="DHH215"/>
      <c r="DHI215"/>
      <c r="DHJ215"/>
      <c r="DHK215"/>
      <c r="DHL215"/>
      <c r="DHM215"/>
      <c r="DHN215"/>
      <c r="DHO215"/>
      <c r="DHP215"/>
      <c r="DHQ215"/>
      <c r="DHR215"/>
      <c r="DHS215"/>
      <c r="DHT215"/>
      <c r="DHU215"/>
      <c r="DHV215"/>
      <c r="DHW215"/>
      <c r="DHX215"/>
      <c r="DHY215"/>
      <c r="DHZ215"/>
      <c r="DIA215"/>
      <c r="DIB215"/>
      <c r="DIC215"/>
      <c r="DID215"/>
      <c r="DIE215"/>
      <c r="DIF215"/>
      <c r="DIG215"/>
      <c r="DIH215"/>
      <c r="DII215"/>
      <c r="DIJ215"/>
      <c r="DIK215"/>
      <c r="DIL215"/>
      <c r="DIM215"/>
      <c r="DIN215"/>
      <c r="DIO215"/>
      <c r="DIP215"/>
      <c r="DIQ215"/>
      <c r="DIR215"/>
      <c r="DIS215"/>
      <c r="DIT215"/>
      <c r="DIU215"/>
      <c r="DIV215"/>
      <c r="DIW215"/>
      <c r="DIX215"/>
      <c r="DIY215"/>
      <c r="DIZ215"/>
      <c r="DJA215"/>
      <c r="DJB215"/>
      <c r="DJC215"/>
      <c r="DJD215"/>
      <c r="DJE215"/>
      <c r="DJF215"/>
      <c r="DJG215"/>
      <c r="DJH215"/>
      <c r="DJI215"/>
      <c r="DJJ215"/>
      <c r="DJK215"/>
      <c r="DJL215"/>
      <c r="DJM215"/>
      <c r="DJN215"/>
      <c r="DJO215"/>
      <c r="DJP215"/>
      <c r="DJQ215"/>
      <c r="DJR215"/>
      <c r="DJS215"/>
      <c r="DJT215"/>
      <c r="DJU215"/>
      <c r="DJV215"/>
      <c r="DJW215"/>
      <c r="DJX215"/>
      <c r="DJY215"/>
      <c r="DJZ215"/>
      <c r="DKA215"/>
      <c r="DKB215"/>
      <c r="DKC215"/>
      <c r="DKD215"/>
      <c r="DKE215"/>
      <c r="DKF215"/>
      <c r="DKG215"/>
      <c r="DKH215"/>
      <c r="DKI215"/>
      <c r="DKJ215"/>
      <c r="DKK215"/>
      <c r="DKL215"/>
      <c r="DKM215"/>
      <c r="DKN215"/>
      <c r="DKO215"/>
      <c r="DKP215"/>
      <c r="DKQ215"/>
      <c r="DKR215"/>
      <c r="DKS215"/>
      <c r="DKT215"/>
      <c r="DKU215"/>
      <c r="DKV215"/>
      <c r="DKW215"/>
      <c r="DKX215"/>
      <c r="DKY215"/>
      <c r="DKZ215"/>
      <c r="DLA215"/>
      <c r="DLB215"/>
      <c r="DLC215"/>
      <c r="DLD215"/>
      <c r="DLE215"/>
      <c r="DLF215"/>
      <c r="DLG215"/>
      <c r="DLH215"/>
      <c r="DLI215"/>
      <c r="DLJ215"/>
      <c r="DLK215"/>
      <c r="DLL215"/>
      <c r="DLM215"/>
      <c r="DLN215"/>
      <c r="DLO215"/>
      <c r="DLP215"/>
      <c r="DLQ215"/>
      <c r="DLR215"/>
      <c r="DLS215"/>
      <c r="DLT215"/>
      <c r="DLU215"/>
      <c r="DLV215"/>
      <c r="DLW215"/>
      <c r="DLX215"/>
      <c r="DLY215"/>
      <c r="DLZ215"/>
      <c r="DMA215"/>
      <c r="DMB215"/>
      <c r="DMC215"/>
      <c r="DMD215"/>
      <c r="DME215"/>
      <c r="DMF215"/>
      <c r="DMG215"/>
      <c r="DMH215"/>
      <c r="DMI215"/>
      <c r="DMJ215"/>
      <c r="DMK215"/>
      <c r="DML215"/>
      <c r="DMM215"/>
      <c r="DMN215"/>
      <c r="DMO215"/>
      <c r="DMP215"/>
      <c r="DMQ215"/>
      <c r="DMR215"/>
      <c r="DMS215"/>
      <c r="DMT215"/>
      <c r="DMU215"/>
      <c r="DMV215"/>
      <c r="DMW215"/>
      <c r="DMX215"/>
      <c r="DMY215"/>
      <c r="DMZ215"/>
      <c r="DNA215"/>
      <c r="DNB215"/>
      <c r="DNC215"/>
      <c r="DND215"/>
      <c r="DNE215"/>
      <c r="DNF215"/>
      <c r="DNG215"/>
      <c r="DNH215"/>
      <c r="DNI215"/>
      <c r="DNJ215"/>
      <c r="DNK215"/>
      <c r="DNL215"/>
      <c r="DNM215"/>
      <c r="DNN215"/>
      <c r="DNO215"/>
      <c r="DNP215"/>
      <c r="DNQ215"/>
      <c r="DNR215"/>
      <c r="DNS215"/>
      <c r="DNT215"/>
      <c r="DNU215"/>
      <c r="DNV215"/>
      <c r="DNW215"/>
      <c r="DNX215"/>
      <c r="DNY215"/>
      <c r="DNZ215"/>
      <c r="DOA215"/>
      <c r="DOB215"/>
      <c r="DOC215"/>
      <c r="DOD215"/>
      <c r="DOE215"/>
      <c r="DOF215"/>
      <c r="DOG215"/>
      <c r="DOH215"/>
      <c r="DOI215"/>
      <c r="DOJ215"/>
      <c r="DOK215"/>
      <c r="DOL215"/>
      <c r="DOM215"/>
      <c r="DON215"/>
      <c r="DOO215"/>
      <c r="DOP215"/>
      <c r="DOQ215"/>
      <c r="DOR215"/>
      <c r="DOS215"/>
      <c r="DOT215"/>
      <c r="DOU215"/>
      <c r="DOV215"/>
      <c r="DOW215"/>
      <c r="DOX215"/>
      <c r="DOY215"/>
      <c r="DOZ215"/>
      <c r="DPA215"/>
      <c r="DPB215"/>
      <c r="DPC215"/>
      <c r="DPD215"/>
      <c r="DPE215"/>
      <c r="DPF215"/>
      <c r="DPG215"/>
      <c r="DPH215"/>
      <c r="DPI215"/>
      <c r="DPJ215"/>
      <c r="DPK215"/>
      <c r="DPL215"/>
      <c r="DPM215"/>
      <c r="DPN215"/>
      <c r="DPO215"/>
      <c r="DPP215"/>
      <c r="DPQ215"/>
      <c r="DPR215"/>
      <c r="DPS215"/>
      <c r="DPT215"/>
      <c r="DPU215"/>
      <c r="DPV215"/>
      <c r="DPW215"/>
      <c r="DPX215"/>
      <c r="DPY215"/>
      <c r="DPZ215"/>
      <c r="DQA215"/>
      <c r="DQB215"/>
      <c r="DQC215"/>
      <c r="DQD215"/>
      <c r="DQE215"/>
      <c r="DQF215"/>
      <c r="DQG215"/>
      <c r="DQH215"/>
      <c r="DQI215"/>
      <c r="DQJ215"/>
      <c r="DQK215"/>
      <c r="DQL215"/>
      <c r="DQM215"/>
      <c r="DQN215"/>
      <c r="DQO215"/>
      <c r="DQP215"/>
      <c r="DQQ215"/>
      <c r="DQR215"/>
      <c r="DQS215"/>
      <c r="DQT215"/>
      <c r="DQU215"/>
      <c r="DQV215"/>
      <c r="DQW215"/>
      <c r="DQX215"/>
      <c r="DQY215"/>
      <c r="DQZ215"/>
      <c r="DRA215"/>
      <c r="DRB215"/>
      <c r="DRC215"/>
      <c r="DRD215"/>
      <c r="DRE215"/>
      <c r="DRF215"/>
      <c r="DRG215"/>
      <c r="DRH215"/>
      <c r="DRI215"/>
      <c r="DRJ215"/>
      <c r="DRK215"/>
      <c r="DRL215"/>
      <c r="DRM215"/>
      <c r="DRN215"/>
      <c r="DRO215"/>
      <c r="DRP215"/>
      <c r="DRQ215"/>
      <c r="DRR215"/>
      <c r="DRS215"/>
      <c r="DRT215"/>
      <c r="DRU215"/>
      <c r="DRV215"/>
      <c r="DRW215"/>
      <c r="DRX215"/>
      <c r="DRY215"/>
      <c r="DRZ215"/>
      <c r="DSA215"/>
      <c r="DSB215"/>
      <c r="DSC215"/>
      <c r="DSD215"/>
      <c r="DSE215"/>
      <c r="DSF215"/>
      <c r="DSG215"/>
      <c r="DSH215"/>
      <c r="DSI215"/>
      <c r="DSJ215"/>
      <c r="DSK215"/>
      <c r="DSL215"/>
      <c r="DSM215"/>
      <c r="DSN215"/>
      <c r="DSO215"/>
      <c r="DSP215"/>
      <c r="DSQ215"/>
      <c r="DSR215"/>
      <c r="DSS215"/>
      <c r="DST215"/>
      <c r="DSU215"/>
      <c r="DSV215"/>
      <c r="DSW215"/>
      <c r="DSX215"/>
      <c r="DSY215"/>
      <c r="DSZ215"/>
      <c r="DTA215"/>
      <c r="DTB215"/>
      <c r="DTC215"/>
      <c r="DTD215"/>
      <c r="DTE215"/>
      <c r="DTF215"/>
      <c r="DTG215"/>
      <c r="DTH215"/>
      <c r="DTI215"/>
      <c r="DTJ215"/>
      <c r="DTK215"/>
      <c r="DTL215"/>
      <c r="DTM215"/>
      <c r="DTN215"/>
      <c r="DTO215"/>
      <c r="DTP215"/>
      <c r="DTQ215"/>
      <c r="DTR215"/>
      <c r="DTS215"/>
      <c r="DTT215"/>
      <c r="DTU215"/>
      <c r="DTV215"/>
      <c r="DTW215"/>
      <c r="DTX215"/>
      <c r="DTY215"/>
      <c r="DTZ215"/>
      <c r="DUA215"/>
      <c r="DUB215"/>
      <c r="DUC215"/>
      <c r="DUD215"/>
      <c r="DUE215"/>
      <c r="DUF215"/>
      <c r="DUG215"/>
      <c r="DUH215"/>
      <c r="DUI215"/>
      <c r="DUJ215"/>
      <c r="DUK215"/>
      <c r="DUL215"/>
      <c r="DUM215"/>
      <c r="DUN215"/>
      <c r="DUO215"/>
      <c r="DUP215"/>
      <c r="DUQ215"/>
      <c r="DUR215"/>
      <c r="DUS215"/>
      <c r="DUT215"/>
      <c r="DUU215"/>
      <c r="DUV215"/>
      <c r="DUW215"/>
      <c r="DUX215"/>
      <c r="DUY215"/>
      <c r="DUZ215"/>
      <c r="DVA215"/>
      <c r="DVB215"/>
      <c r="DVC215"/>
      <c r="DVD215"/>
      <c r="DVE215"/>
      <c r="DVF215"/>
      <c r="DVG215"/>
      <c r="DVH215"/>
      <c r="DVI215"/>
      <c r="DVJ215"/>
      <c r="DVK215"/>
      <c r="DVL215"/>
      <c r="DVM215"/>
      <c r="DVN215"/>
      <c r="DVO215"/>
      <c r="DVP215"/>
      <c r="DVQ215"/>
      <c r="DVR215"/>
      <c r="DVS215"/>
      <c r="DVT215"/>
      <c r="DVU215"/>
      <c r="DVV215"/>
      <c r="DVW215"/>
      <c r="DVX215"/>
      <c r="DVY215"/>
      <c r="DVZ215"/>
      <c r="DWA215"/>
      <c r="DWB215"/>
      <c r="DWC215"/>
      <c r="DWD215"/>
      <c r="DWE215"/>
      <c r="DWF215"/>
      <c r="DWG215"/>
      <c r="DWH215"/>
      <c r="DWI215"/>
      <c r="DWJ215"/>
      <c r="DWK215"/>
      <c r="DWL215"/>
      <c r="DWM215"/>
      <c r="DWN215"/>
      <c r="DWO215"/>
      <c r="DWP215"/>
      <c r="DWQ215"/>
      <c r="DWR215"/>
      <c r="DWS215"/>
      <c r="DWT215"/>
      <c r="DWU215"/>
      <c r="DWV215"/>
      <c r="DWW215"/>
      <c r="DWX215"/>
      <c r="DWY215"/>
      <c r="DWZ215"/>
      <c r="DXA215"/>
      <c r="DXB215"/>
      <c r="DXC215"/>
      <c r="DXD215"/>
      <c r="DXE215"/>
      <c r="DXF215"/>
      <c r="DXG215"/>
      <c r="DXH215"/>
      <c r="DXI215"/>
      <c r="DXJ215"/>
      <c r="DXK215"/>
      <c r="DXL215"/>
      <c r="DXM215"/>
      <c r="DXN215"/>
      <c r="DXO215"/>
      <c r="DXP215"/>
      <c r="DXQ215"/>
      <c r="DXR215"/>
      <c r="DXS215"/>
      <c r="DXT215"/>
      <c r="DXU215"/>
      <c r="DXV215"/>
      <c r="DXW215"/>
      <c r="DXX215"/>
      <c r="DXY215"/>
      <c r="DXZ215"/>
      <c r="DYA215"/>
      <c r="DYB215"/>
      <c r="DYC215"/>
      <c r="DYD215"/>
      <c r="DYE215"/>
      <c r="DYF215"/>
      <c r="DYG215"/>
      <c r="DYH215"/>
      <c r="DYI215"/>
      <c r="DYJ215"/>
      <c r="DYK215"/>
      <c r="DYL215"/>
      <c r="DYM215"/>
      <c r="DYN215"/>
      <c r="DYO215"/>
      <c r="DYP215"/>
      <c r="DYQ215"/>
      <c r="DYR215"/>
      <c r="DYS215"/>
      <c r="DYT215"/>
      <c r="DYU215"/>
      <c r="DYV215"/>
      <c r="DYW215"/>
      <c r="DYX215"/>
      <c r="DYY215"/>
      <c r="DYZ215"/>
      <c r="DZA215"/>
      <c r="DZB215"/>
      <c r="DZC215"/>
      <c r="DZD215"/>
      <c r="DZE215"/>
      <c r="DZF215"/>
      <c r="DZG215"/>
      <c r="DZH215"/>
      <c r="DZI215"/>
      <c r="DZJ215"/>
      <c r="DZK215"/>
      <c r="DZL215"/>
      <c r="DZM215"/>
      <c r="DZN215"/>
      <c r="DZO215"/>
      <c r="DZP215"/>
      <c r="DZQ215"/>
      <c r="DZR215"/>
      <c r="DZS215"/>
      <c r="DZT215"/>
      <c r="DZU215"/>
      <c r="DZV215"/>
      <c r="DZW215"/>
      <c r="DZX215"/>
      <c r="DZY215"/>
      <c r="DZZ215"/>
      <c r="EAA215"/>
      <c r="EAB215"/>
      <c r="EAC215"/>
      <c r="EAD215"/>
      <c r="EAE215"/>
      <c r="EAF215"/>
      <c r="EAG215"/>
      <c r="EAH215"/>
      <c r="EAI215"/>
      <c r="EAJ215"/>
      <c r="EAK215"/>
      <c r="EAL215"/>
      <c r="EAM215"/>
      <c r="EAN215"/>
      <c r="EAO215"/>
      <c r="EAP215"/>
      <c r="EAQ215"/>
      <c r="EAR215"/>
      <c r="EAS215"/>
      <c r="EAT215"/>
      <c r="EAU215"/>
      <c r="EAV215"/>
      <c r="EAW215"/>
      <c r="EAX215"/>
      <c r="EAY215"/>
      <c r="EAZ215"/>
      <c r="EBA215"/>
      <c r="EBB215"/>
      <c r="EBC215"/>
      <c r="EBD215"/>
      <c r="EBE215"/>
      <c r="EBF215"/>
      <c r="EBG215"/>
      <c r="EBH215"/>
      <c r="EBI215"/>
      <c r="EBJ215"/>
      <c r="EBK215"/>
      <c r="EBL215"/>
      <c r="EBM215"/>
      <c r="EBN215"/>
      <c r="EBO215"/>
      <c r="EBP215"/>
      <c r="EBQ215"/>
      <c r="EBR215"/>
      <c r="EBS215"/>
      <c r="EBT215"/>
      <c r="EBU215"/>
      <c r="EBV215"/>
      <c r="EBW215"/>
      <c r="EBX215"/>
      <c r="EBY215"/>
      <c r="EBZ215"/>
      <c r="ECA215"/>
      <c r="ECB215"/>
      <c r="ECC215"/>
      <c r="ECD215"/>
      <c r="ECE215"/>
      <c r="ECF215"/>
      <c r="ECG215"/>
      <c r="ECH215"/>
      <c r="ECI215"/>
      <c r="ECJ215"/>
      <c r="ECK215"/>
      <c r="ECL215"/>
      <c r="ECM215"/>
      <c r="ECN215"/>
      <c r="ECO215"/>
      <c r="ECP215"/>
      <c r="ECQ215"/>
      <c r="ECR215"/>
      <c r="ECS215"/>
      <c r="ECT215"/>
      <c r="ECU215"/>
      <c r="ECV215"/>
      <c r="ECW215"/>
      <c r="ECX215"/>
      <c r="ECY215"/>
      <c r="ECZ215"/>
      <c r="EDA215"/>
      <c r="EDB215"/>
      <c r="EDC215"/>
      <c r="EDD215"/>
      <c r="EDE215"/>
      <c r="EDF215"/>
      <c r="EDG215"/>
      <c r="EDH215"/>
      <c r="EDI215"/>
      <c r="EDJ215"/>
      <c r="EDK215"/>
      <c r="EDL215"/>
      <c r="EDM215"/>
      <c r="EDN215"/>
      <c r="EDO215"/>
      <c r="EDP215"/>
      <c r="EDQ215"/>
      <c r="EDR215"/>
      <c r="EDS215"/>
      <c r="EDT215"/>
      <c r="EDU215"/>
      <c r="EDV215"/>
      <c r="EDW215"/>
      <c r="EDX215"/>
      <c r="EDY215"/>
      <c r="EDZ215"/>
      <c r="EEA215"/>
      <c r="EEB215"/>
      <c r="EEC215"/>
      <c r="EED215"/>
      <c r="EEE215"/>
      <c r="EEF215"/>
      <c r="EEG215"/>
      <c r="EEH215"/>
      <c r="EEI215"/>
      <c r="EEJ215"/>
      <c r="EEK215"/>
      <c r="EEL215"/>
      <c r="EEM215"/>
      <c r="EEN215"/>
      <c r="EEO215"/>
      <c r="EEP215"/>
      <c r="EEQ215"/>
      <c r="EER215"/>
      <c r="EES215"/>
      <c r="EET215"/>
      <c r="EEU215"/>
      <c r="EEV215"/>
      <c r="EEW215"/>
      <c r="EEX215"/>
      <c r="EEY215"/>
      <c r="EEZ215"/>
      <c r="EFA215"/>
      <c r="EFB215"/>
      <c r="EFC215"/>
      <c r="EFD215"/>
      <c r="EFE215"/>
      <c r="EFF215"/>
      <c r="EFG215"/>
      <c r="EFH215"/>
      <c r="EFI215"/>
      <c r="EFJ215"/>
      <c r="EFK215"/>
      <c r="EFL215"/>
      <c r="EFM215"/>
      <c r="EFN215"/>
      <c r="EFO215"/>
      <c r="EFP215"/>
      <c r="EFQ215"/>
      <c r="EFR215"/>
      <c r="EFS215"/>
      <c r="EFT215"/>
      <c r="EFU215"/>
      <c r="EFV215"/>
      <c r="EFW215"/>
      <c r="EFX215"/>
      <c r="EFY215"/>
      <c r="EFZ215"/>
      <c r="EGA215"/>
      <c r="EGB215"/>
      <c r="EGC215"/>
      <c r="EGD215"/>
      <c r="EGE215"/>
      <c r="EGF215"/>
      <c r="EGG215"/>
      <c r="EGH215"/>
      <c r="EGI215"/>
      <c r="EGJ215"/>
      <c r="EGK215"/>
      <c r="EGL215"/>
      <c r="EGM215"/>
      <c r="EGN215"/>
      <c r="EGO215"/>
      <c r="EGP215"/>
      <c r="EGQ215"/>
      <c r="EGR215"/>
      <c r="EGS215"/>
      <c r="EGT215"/>
      <c r="EGU215"/>
      <c r="EGV215"/>
      <c r="EGW215"/>
      <c r="EGX215"/>
      <c r="EGY215"/>
      <c r="EGZ215"/>
      <c r="EHA215"/>
      <c r="EHB215"/>
      <c r="EHC215"/>
      <c r="EHD215"/>
      <c r="EHE215"/>
      <c r="EHF215"/>
      <c r="EHG215"/>
      <c r="EHH215"/>
      <c r="EHI215"/>
      <c r="EHJ215"/>
      <c r="EHK215"/>
      <c r="EHL215"/>
      <c r="EHM215"/>
      <c r="EHN215"/>
      <c r="EHO215"/>
      <c r="EHP215"/>
      <c r="EHQ215"/>
      <c r="EHR215"/>
      <c r="EHS215"/>
      <c r="EHT215"/>
      <c r="EHU215"/>
      <c r="EHV215"/>
      <c r="EHW215"/>
      <c r="EHX215"/>
      <c r="EHY215"/>
      <c r="EHZ215"/>
      <c r="EIA215"/>
      <c r="EIB215"/>
      <c r="EIC215"/>
      <c r="EID215"/>
      <c r="EIE215"/>
      <c r="EIF215"/>
      <c r="EIG215"/>
      <c r="EIH215"/>
      <c r="EII215"/>
      <c r="EIJ215"/>
      <c r="EIK215"/>
      <c r="EIL215"/>
      <c r="EIM215"/>
      <c r="EIN215"/>
      <c r="EIO215"/>
      <c r="EIP215"/>
      <c r="EIQ215"/>
      <c r="EIR215"/>
      <c r="EIS215"/>
      <c r="EIT215"/>
      <c r="EIU215"/>
      <c r="EIV215"/>
      <c r="EIW215"/>
      <c r="EIX215"/>
      <c r="EIY215"/>
      <c r="EIZ215"/>
      <c r="EJA215"/>
      <c r="EJB215"/>
      <c r="EJC215"/>
      <c r="EJD215"/>
      <c r="EJE215"/>
      <c r="EJF215"/>
      <c r="EJG215"/>
      <c r="EJH215"/>
      <c r="EJI215"/>
      <c r="EJJ215"/>
      <c r="EJK215"/>
      <c r="EJL215"/>
      <c r="EJM215"/>
      <c r="EJN215"/>
      <c r="EJO215"/>
      <c r="EJP215"/>
      <c r="EJQ215"/>
      <c r="EJR215"/>
      <c r="EJS215"/>
      <c r="EJT215"/>
      <c r="EJU215"/>
      <c r="EJV215"/>
      <c r="EJW215"/>
      <c r="EJX215"/>
      <c r="EJY215"/>
      <c r="EJZ215"/>
      <c r="EKA215"/>
      <c r="EKB215"/>
      <c r="EKC215"/>
      <c r="EKD215"/>
      <c r="EKE215"/>
      <c r="EKF215"/>
      <c r="EKG215"/>
      <c r="EKH215"/>
      <c r="EKI215"/>
      <c r="EKJ215"/>
      <c r="EKK215"/>
      <c r="EKL215"/>
      <c r="EKM215"/>
      <c r="EKN215"/>
      <c r="EKO215"/>
      <c r="EKP215"/>
      <c r="EKQ215"/>
      <c r="EKR215"/>
      <c r="EKS215"/>
      <c r="EKT215"/>
      <c r="EKU215"/>
      <c r="EKV215"/>
      <c r="EKW215"/>
      <c r="EKX215"/>
      <c r="EKY215"/>
      <c r="EKZ215"/>
      <c r="ELA215"/>
      <c r="ELB215"/>
      <c r="ELC215"/>
      <c r="ELD215"/>
      <c r="ELE215"/>
      <c r="ELF215"/>
      <c r="ELG215"/>
      <c r="ELH215"/>
      <c r="ELI215"/>
      <c r="ELJ215"/>
      <c r="ELK215"/>
      <c r="ELL215"/>
      <c r="ELM215"/>
      <c r="ELN215"/>
      <c r="ELO215"/>
      <c r="ELP215"/>
      <c r="ELQ215"/>
      <c r="ELR215"/>
      <c r="ELS215"/>
      <c r="ELT215"/>
      <c r="ELU215"/>
      <c r="ELV215"/>
      <c r="ELW215"/>
      <c r="ELX215"/>
      <c r="ELY215"/>
      <c r="ELZ215"/>
      <c r="EMA215"/>
      <c r="EMB215"/>
      <c r="EMC215"/>
      <c r="EMD215"/>
      <c r="EME215"/>
      <c r="EMF215"/>
      <c r="EMG215"/>
      <c r="EMH215"/>
      <c r="EMI215"/>
      <c r="EMJ215"/>
      <c r="EMK215"/>
      <c r="EML215"/>
      <c r="EMM215"/>
      <c r="EMN215"/>
      <c r="EMO215"/>
      <c r="EMP215"/>
      <c r="EMQ215"/>
      <c r="EMR215"/>
      <c r="EMS215"/>
      <c r="EMT215"/>
      <c r="EMU215"/>
      <c r="EMV215"/>
      <c r="EMW215"/>
      <c r="EMX215"/>
      <c r="EMY215"/>
      <c r="EMZ215"/>
      <c r="ENA215"/>
      <c r="ENB215"/>
      <c r="ENC215"/>
      <c r="END215"/>
      <c r="ENE215"/>
      <c r="ENF215"/>
      <c r="ENG215"/>
      <c r="ENH215"/>
      <c r="ENI215"/>
      <c r="ENJ215"/>
      <c r="ENK215"/>
      <c r="ENL215"/>
      <c r="ENM215"/>
      <c r="ENN215"/>
      <c r="ENO215"/>
      <c r="ENP215"/>
      <c r="ENQ215"/>
      <c r="ENR215"/>
      <c r="ENS215"/>
      <c r="ENT215"/>
      <c r="ENU215"/>
      <c r="ENV215"/>
      <c r="ENW215"/>
      <c r="ENX215"/>
      <c r="ENY215"/>
      <c r="ENZ215"/>
      <c r="EOA215"/>
      <c r="EOB215"/>
      <c r="EOC215"/>
      <c r="EOD215"/>
      <c r="EOE215"/>
      <c r="EOF215"/>
      <c r="EOG215"/>
      <c r="EOH215"/>
      <c r="EOI215"/>
      <c r="EOJ215"/>
      <c r="EOK215"/>
      <c r="EOL215"/>
      <c r="EOM215"/>
      <c r="EON215"/>
      <c r="EOO215"/>
      <c r="EOP215"/>
      <c r="EOQ215"/>
      <c r="EOR215"/>
      <c r="EOS215"/>
      <c r="EOT215"/>
      <c r="EOU215"/>
      <c r="EOV215"/>
      <c r="EOW215"/>
      <c r="EOX215"/>
      <c r="EOY215"/>
      <c r="EOZ215"/>
      <c r="EPA215"/>
      <c r="EPB215"/>
      <c r="EPC215"/>
      <c r="EPD215"/>
      <c r="EPE215"/>
      <c r="EPF215"/>
      <c r="EPG215"/>
      <c r="EPH215"/>
      <c r="EPI215"/>
      <c r="EPJ215"/>
      <c r="EPK215"/>
      <c r="EPL215"/>
      <c r="EPM215"/>
      <c r="EPN215"/>
      <c r="EPO215"/>
      <c r="EPP215"/>
      <c r="EPQ215"/>
      <c r="EPR215"/>
      <c r="EPS215"/>
      <c r="EPT215"/>
      <c r="EPU215"/>
      <c r="EPV215"/>
      <c r="EPW215"/>
      <c r="EPX215"/>
      <c r="EPY215"/>
      <c r="EPZ215"/>
      <c r="EQA215"/>
      <c r="EQB215"/>
      <c r="EQC215"/>
      <c r="EQD215"/>
      <c r="EQE215"/>
      <c r="EQF215"/>
      <c r="EQG215"/>
      <c r="EQH215"/>
      <c r="EQI215"/>
      <c r="EQJ215"/>
      <c r="EQK215"/>
      <c r="EQL215"/>
      <c r="EQM215"/>
      <c r="EQN215"/>
      <c r="EQO215"/>
      <c r="EQP215"/>
      <c r="EQQ215"/>
      <c r="EQR215"/>
      <c r="EQS215"/>
      <c r="EQT215"/>
      <c r="EQU215"/>
      <c r="EQV215"/>
      <c r="EQW215"/>
      <c r="EQX215"/>
      <c r="EQY215"/>
      <c r="EQZ215"/>
      <c r="ERA215"/>
      <c r="ERB215"/>
      <c r="ERC215"/>
      <c r="ERD215"/>
      <c r="ERE215"/>
      <c r="ERF215"/>
      <c r="ERG215"/>
      <c r="ERH215"/>
      <c r="ERI215"/>
      <c r="ERJ215"/>
      <c r="ERK215"/>
      <c r="ERL215"/>
      <c r="ERM215"/>
      <c r="ERN215"/>
      <c r="ERO215"/>
      <c r="ERP215"/>
      <c r="ERQ215"/>
      <c r="ERR215"/>
      <c r="ERS215"/>
      <c r="ERT215"/>
      <c r="ERU215"/>
      <c r="ERV215"/>
      <c r="ERW215"/>
      <c r="ERX215"/>
      <c r="ERY215"/>
      <c r="ERZ215"/>
      <c r="ESA215"/>
      <c r="ESB215"/>
      <c r="ESC215"/>
      <c r="ESD215"/>
      <c r="ESE215"/>
      <c r="ESF215"/>
      <c r="ESG215"/>
      <c r="ESH215"/>
      <c r="ESI215"/>
      <c r="ESJ215"/>
      <c r="ESK215"/>
      <c r="ESL215"/>
      <c r="ESM215"/>
      <c r="ESN215"/>
      <c r="ESO215"/>
      <c r="ESP215"/>
      <c r="ESQ215"/>
      <c r="ESR215"/>
      <c r="ESS215"/>
      <c r="EST215"/>
      <c r="ESU215"/>
      <c r="ESV215"/>
      <c r="ESW215"/>
      <c r="ESX215"/>
      <c r="ESY215"/>
      <c r="ESZ215"/>
      <c r="ETA215"/>
      <c r="ETB215"/>
      <c r="ETC215"/>
      <c r="ETD215"/>
      <c r="ETE215"/>
      <c r="ETF215"/>
      <c r="ETG215"/>
      <c r="ETH215"/>
      <c r="ETI215"/>
      <c r="ETJ215"/>
      <c r="ETK215"/>
      <c r="ETL215"/>
      <c r="ETM215"/>
      <c r="ETN215"/>
      <c r="ETO215"/>
      <c r="ETP215"/>
      <c r="ETQ215"/>
      <c r="ETR215"/>
      <c r="ETS215"/>
      <c r="ETT215"/>
      <c r="ETU215"/>
      <c r="ETV215"/>
      <c r="ETW215"/>
      <c r="ETX215"/>
      <c r="ETY215"/>
      <c r="ETZ215"/>
      <c r="EUA215"/>
      <c r="EUB215"/>
      <c r="EUC215"/>
      <c r="EUD215"/>
      <c r="EUE215"/>
      <c r="EUF215"/>
      <c r="EUG215"/>
      <c r="EUH215"/>
      <c r="EUI215"/>
      <c r="EUJ215"/>
      <c r="EUK215"/>
      <c r="EUL215"/>
      <c r="EUM215"/>
      <c r="EUN215"/>
      <c r="EUO215"/>
      <c r="EUP215"/>
      <c r="EUQ215"/>
      <c r="EUR215"/>
      <c r="EUS215"/>
      <c r="EUT215"/>
      <c r="EUU215"/>
      <c r="EUV215"/>
      <c r="EUW215"/>
      <c r="EUX215"/>
      <c r="EUY215"/>
      <c r="EUZ215"/>
      <c r="EVA215"/>
      <c r="EVB215"/>
      <c r="EVC215"/>
      <c r="EVD215"/>
      <c r="EVE215"/>
      <c r="EVF215"/>
      <c r="EVG215"/>
      <c r="EVH215"/>
      <c r="EVI215"/>
      <c r="EVJ215"/>
      <c r="EVK215"/>
      <c r="EVL215"/>
      <c r="EVM215"/>
      <c r="EVN215"/>
      <c r="EVO215"/>
      <c r="EVP215"/>
      <c r="EVQ215"/>
      <c r="EVR215"/>
      <c r="EVS215"/>
      <c r="EVT215"/>
      <c r="EVU215"/>
      <c r="EVV215"/>
      <c r="EVW215"/>
      <c r="EVX215"/>
      <c r="EVY215"/>
      <c r="EVZ215"/>
      <c r="EWA215"/>
      <c r="EWB215"/>
      <c r="EWC215"/>
      <c r="EWD215"/>
      <c r="EWE215"/>
      <c r="EWF215"/>
      <c r="EWG215"/>
      <c r="EWH215"/>
      <c r="EWI215"/>
      <c r="EWJ215"/>
      <c r="EWK215"/>
      <c r="EWL215"/>
      <c r="EWM215"/>
      <c r="EWN215"/>
      <c r="EWO215"/>
      <c r="EWP215"/>
      <c r="EWQ215"/>
      <c r="EWR215"/>
      <c r="EWS215"/>
      <c r="EWT215"/>
      <c r="EWU215"/>
      <c r="EWV215"/>
      <c r="EWW215"/>
      <c r="EWX215"/>
      <c r="EWY215"/>
      <c r="EWZ215"/>
      <c r="EXA215"/>
      <c r="EXB215"/>
      <c r="EXC215"/>
      <c r="EXD215"/>
      <c r="EXE215"/>
      <c r="EXF215"/>
      <c r="EXG215"/>
      <c r="EXH215"/>
      <c r="EXI215"/>
      <c r="EXJ215"/>
      <c r="EXK215"/>
      <c r="EXL215"/>
      <c r="EXM215"/>
      <c r="EXN215"/>
      <c r="EXO215"/>
      <c r="EXP215"/>
      <c r="EXQ215"/>
      <c r="EXR215"/>
      <c r="EXS215"/>
      <c r="EXT215"/>
      <c r="EXU215"/>
      <c r="EXV215"/>
      <c r="EXW215"/>
      <c r="EXX215"/>
      <c r="EXY215"/>
      <c r="EXZ215"/>
      <c r="EYA215"/>
      <c r="EYB215"/>
      <c r="EYC215"/>
      <c r="EYD215"/>
      <c r="EYE215"/>
      <c r="EYF215"/>
      <c r="EYG215"/>
      <c r="EYH215"/>
      <c r="EYI215"/>
      <c r="EYJ215"/>
      <c r="EYK215"/>
      <c r="EYL215"/>
      <c r="EYM215"/>
      <c r="EYN215"/>
      <c r="EYO215"/>
      <c r="EYP215"/>
      <c r="EYQ215"/>
      <c r="EYR215"/>
      <c r="EYS215"/>
      <c r="EYT215"/>
      <c r="EYU215"/>
      <c r="EYV215"/>
      <c r="EYW215"/>
      <c r="EYX215"/>
      <c r="EYY215"/>
      <c r="EYZ215"/>
      <c r="EZA215"/>
      <c r="EZB215"/>
      <c r="EZC215"/>
      <c r="EZD215"/>
      <c r="EZE215"/>
      <c r="EZF215"/>
      <c r="EZG215"/>
      <c r="EZH215"/>
      <c r="EZI215"/>
      <c r="EZJ215"/>
      <c r="EZK215"/>
      <c r="EZL215"/>
      <c r="EZM215"/>
      <c r="EZN215"/>
      <c r="EZO215"/>
      <c r="EZP215"/>
      <c r="EZQ215"/>
      <c r="EZR215"/>
      <c r="EZS215"/>
      <c r="EZT215"/>
      <c r="EZU215"/>
      <c r="EZV215"/>
      <c r="EZW215"/>
      <c r="EZX215"/>
      <c r="EZY215"/>
      <c r="EZZ215"/>
      <c r="FAA215"/>
      <c r="FAB215"/>
      <c r="FAC215"/>
      <c r="FAD215"/>
      <c r="FAE215"/>
      <c r="FAF215"/>
      <c r="FAG215"/>
      <c r="FAH215"/>
      <c r="FAI215"/>
      <c r="FAJ215"/>
      <c r="FAK215"/>
      <c r="FAL215"/>
      <c r="FAM215"/>
      <c r="FAN215"/>
      <c r="FAO215"/>
      <c r="FAP215"/>
      <c r="FAQ215"/>
      <c r="FAR215"/>
      <c r="FAS215"/>
      <c r="FAT215"/>
      <c r="FAU215"/>
      <c r="FAV215"/>
      <c r="FAW215"/>
      <c r="FAX215"/>
      <c r="FAY215"/>
      <c r="FAZ215"/>
      <c r="FBA215"/>
      <c r="FBB215"/>
      <c r="FBC215"/>
      <c r="FBD215"/>
      <c r="FBE215"/>
      <c r="FBF215"/>
      <c r="FBG215"/>
      <c r="FBH215"/>
      <c r="FBI215"/>
      <c r="FBJ215"/>
      <c r="FBK215"/>
      <c r="FBL215"/>
      <c r="FBM215"/>
      <c r="FBN215"/>
      <c r="FBO215"/>
      <c r="FBP215"/>
      <c r="FBQ215"/>
      <c r="FBR215"/>
      <c r="FBS215"/>
      <c r="FBT215"/>
      <c r="FBU215"/>
      <c r="FBV215"/>
      <c r="FBW215"/>
      <c r="FBX215"/>
      <c r="FBY215"/>
      <c r="FBZ215"/>
      <c r="FCA215"/>
      <c r="FCB215"/>
      <c r="FCC215"/>
      <c r="FCD215"/>
      <c r="FCE215"/>
      <c r="FCF215"/>
      <c r="FCG215"/>
      <c r="FCH215"/>
      <c r="FCI215"/>
      <c r="FCJ215"/>
      <c r="FCK215"/>
      <c r="FCL215"/>
      <c r="FCM215"/>
      <c r="FCN215"/>
      <c r="FCO215"/>
      <c r="FCP215"/>
      <c r="FCQ215"/>
      <c r="FCR215"/>
      <c r="FCS215"/>
      <c r="FCT215"/>
      <c r="FCU215"/>
      <c r="FCV215"/>
      <c r="FCW215"/>
      <c r="FCX215"/>
      <c r="FCY215"/>
      <c r="FCZ215"/>
      <c r="FDA215"/>
      <c r="FDB215"/>
      <c r="FDC215"/>
      <c r="FDD215"/>
      <c r="FDE215"/>
      <c r="FDF215"/>
      <c r="FDG215"/>
      <c r="FDH215"/>
      <c r="FDI215"/>
      <c r="FDJ215"/>
      <c r="FDK215"/>
      <c r="FDL215"/>
      <c r="FDM215"/>
      <c r="FDN215"/>
      <c r="FDO215"/>
      <c r="FDP215"/>
      <c r="FDQ215"/>
      <c r="FDR215"/>
      <c r="FDS215"/>
      <c r="FDT215"/>
      <c r="FDU215"/>
      <c r="FDV215"/>
      <c r="FDW215"/>
      <c r="FDX215"/>
      <c r="FDY215"/>
      <c r="FDZ215"/>
      <c r="FEA215"/>
      <c r="FEB215"/>
      <c r="FEC215"/>
      <c r="FED215"/>
      <c r="FEE215"/>
      <c r="FEF215"/>
      <c r="FEG215"/>
      <c r="FEH215"/>
      <c r="FEI215"/>
      <c r="FEJ215"/>
      <c r="FEK215"/>
      <c r="FEL215"/>
      <c r="FEM215"/>
      <c r="FEN215"/>
      <c r="FEO215"/>
      <c r="FEP215"/>
      <c r="FEQ215"/>
      <c r="FER215"/>
      <c r="FES215"/>
      <c r="FET215"/>
      <c r="FEU215"/>
      <c r="FEV215"/>
      <c r="FEW215"/>
      <c r="FEX215"/>
      <c r="FEY215"/>
      <c r="FEZ215"/>
      <c r="FFA215"/>
      <c r="FFB215"/>
      <c r="FFC215"/>
      <c r="FFD215"/>
      <c r="FFE215"/>
      <c r="FFF215"/>
      <c r="FFG215"/>
      <c r="FFH215"/>
      <c r="FFI215"/>
      <c r="FFJ215"/>
      <c r="FFK215"/>
      <c r="FFL215"/>
      <c r="FFM215"/>
      <c r="FFN215"/>
      <c r="FFO215"/>
      <c r="FFP215"/>
      <c r="FFQ215"/>
      <c r="FFR215"/>
      <c r="FFS215"/>
      <c r="FFT215"/>
      <c r="FFU215"/>
      <c r="FFV215"/>
      <c r="FFW215"/>
      <c r="FFX215"/>
      <c r="FFY215"/>
      <c r="FFZ215"/>
      <c r="FGA215"/>
      <c r="FGB215"/>
      <c r="FGC215"/>
      <c r="FGD215"/>
      <c r="FGE215"/>
      <c r="FGF215"/>
      <c r="FGG215"/>
      <c r="FGH215"/>
      <c r="FGI215"/>
      <c r="FGJ215"/>
      <c r="FGK215"/>
      <c r="FGL215"/>
      <c r="FGM215"/>
      <c r="FGN215"/>
      <c r="FGO215"/>
      <c r="FGP215"/>
      <c r="FGQ215"/>
      <c r="FGR215"/>
      <c r="FGS215"/>
      <c r="FGT215"/>
      <c r="FGU215"/>
      <c r="FGV215"/>
      <c r="FGW215"/>
      <c r="FGX215"/>
      <c r="FGY215"/>
      <c r="FGZ215"/>
      <c r="FHA215"/>
      <c r="FHB215"/>
      <c r="FHC215"/>
      <c r="FHD215"/>
      <c r="FHE215"/>
      <c r="FHF215"/>
      <c r="FHG215"/>
      <c r="FHH215"/>
      <c r="FHI215"/>
      <c r="FHJ215"/>
      <c r="FHK215"/>
      <c r="FHL215"/>
      <c r="FHM215"/>
      <c r="FHN215"/>
      <c r="FHO215"/>
      <c r="FHP215"/>
      <c r="FHQ215"/>
      <c r="FHR215"/>
      <c r="FHS215"/>
      <c r="FHT215"/>
      <c r="FHU215"/>
      <c r="FHV215"/>
      <c r="FHW215"/>
      <c r="FHX215"/>
      <c r="FHY215"/>
      <c r="FHZ215"/>
      <c r="FIA215"/>
      <c r="FIB215"/>
      <c r="FIC215"/>
      <c r="FID215"/>
      <c r="FIE215"/>
      <c r="FIF215"/>
      <c r="FIG215"/>
      <c r="FIH215"/>
      <c r="FII215"/>
      <c r="FIJ215"/>
      <c r="FIK215"/>
      <c r="FIL215"/>
      <c r="FIM215"/>
      <c r="FIN215"/>
      <c r="FIO215"/>
      <c r="FIP215"/>
      <c r="FIQ215"/>
      <c r="FIR215"/>
      <c r="FIS215"/>
      <c r="FIT215"/>
      <c r="FIU215"/>
      <c r="FIV215"/>
      <c r="FIW215"/>
      <c r="FIX215"/>
      <c r="FIY215"/>
      <c r="FIZ215"/>
      <c r="FJA215"/>
      <c r="FJB215"/>
      <c r="FJC215"/>
      <c r="FJD215"/>
      <c r="FJE215"/>
      <c r="FJF215"/>
      <c r="FJG215"/>
      <c r="FJH215"/>
      <c r="FJI215"/>
      <c r="FJJ215"/>
      <c r="FJK215"/>
      <c r="FJL215"/>
      <c r="FJM215"/>
      <c r="FJN215"/>
      <c r="FJO215"/>
      <c r="FJP215"/>
      <c r="FJQ215"/>
      <c r="FJR215"/>
      <c r="FJS215"/>
      <c r="FJT215"/>
      <c r="FJU215"/>
      <c r="FJV215"/>
      <c r="FJW215"/>
      <c r="FJX215"/>
      <c r="FJY215"/>
      <c r="FJZ215"/>
      <c r="FKA215"/>
      <c r="FKB215"/>
      <c r="FKC215"/>
      <c r="FKD215"/>
      <c r="FKE215"/>
      <c r="FKF215"/>
      <c r="FKG215"/>
      <c r="FKH215"/>
      <c r="FKI215"/>
      <c r="FKJ215"/>
      <c r="FKK215"/>
      <c r="FKL215"/>
      <c r="FKM215"/>
      <c r="FKN215"/>
      <c r="FKO215"/>
      <c r="FKP215"/>
      <c r="FKQ215"/>
      <c r="FKR215"/>
      <c r="FKS215"/>
      <c r="FKT215"/>
      <c r="FKU215"/>
      <c r="FKV215"/>
      <c r="FKW215"/>
      <c r="FKX215"/>
      <c r="FKY215"/>
      <c r="FKZ215"/>
      <c r="FLA215"/>
      <c r="FLB215"/>
      <c r="FLC215"/>
      <c r="FLD215"/>
      <c r="FLE215"/>
      <c r="FLF215"/>
      <c r="FLG215"/>
      <c r="FLH215"/>
      <c r="FLI215"/>
      <c r="FLJ215"/>
      <c r="FLK215"/>
      <c r="FLL215"/>
      <c r="FLM215"/>
      <c r="FLN215"/>
      <c r="FLO215"/>
      <c r="FLP215"/>
      <c r="FLQ215"/>
      <c r="FLR215"/>
      <c r="FLS215"/>
      <c r="FLT215"/>
      <c r="FLU215"/>
      <c r="FLV215"/>
      <c r="FLW215"/>
      <c r="FLX215"/>
      <c r="FLY215"/>
      <c r="FLZ215"/>
      <c r="FMA215"/>
      <c r="FMB215"/>
      <c r="FMC215"/>
      <c r="FMD215"/>
      <c r="FME215"/>
      <c r="FMF215"/>
      <c r="FMG215"/>
      <c r="FMH215"/>
      <c r="FMI215"/>
      <c r="FMJ215"/>
      <c r="FMK215"/>
      <c r="FML215"/>
      <c r="FMM215"/>
      <c r="FMN215"/>
      <c r="FMO215"/>
      <c r="FMP215"/>
      <c r="FMQ215"/>
      <c r="FMR215"/>
      <c r="FMS215"/>
      <c r="FMT215"/>
      <c r="FMU215"/>
      <c r="FMV215"/>
      <c r="FMW215"/>
      <c r="FMX215"/>
      <c r="FMY215"/>
      <c r="FMZ215"/>
      <c r="FNA215"/>
      <c r="FNB215"/>
      <c r="FNC215"/>
      <c r="FND215"/>
      <c r="FNE215"/>
      <c r="FNF215"/>
      <c r="FNG215"/>
      <c r="FNH215"/>
      <c r="FNI215"/>
      <c r="FNJ215"/>
      <c r="FNK215"/>
      <c r="FNL215"/>
      <c r="FNM215"/>
      <c r="FNN215"/>
      <c r="FNO215"/>
      <c r="FNP215"/>
      <c r="FNQ215"/>
      <c r="FNR215"/>
      <c r="FNS215"/>
      <c r="FNT215"/>
      <c r="FNU215"/>
      <c r="FNV215"/>
      <c r="FNW215"/>
      <c r="FNX215"/>
      <c r="FNY215"/>
      <c r="FNZ215"/>
      <c r="FOA215"/>
      <c r="FOB215"/>
      <c r="FOC215"/>
      <c r="FOD215"/>
      <c r="FOE215"/>
      <c r="FOF215"/>
      <c r="FOG215"/>
      <c r="FOH215"/>
      <c r="FOI215"/>
      <c r="FOJ215"/>
      <c r="FOK215"/>
      <c r="FOL215"/>
      <c r="FOM215"/>
      <c r="FON215"/>
      <c r="FOO215"/>
      <c r="FOP215"/>
      <c r="FOQ215"/>
      <c r="FOR215"/>
      <c r="FOS215"/>
      <c r="FOT215"/>
      <c r="FOU215"/>
      <c r="FOV215"/>
      <c r="FOW215"/>
      <c r="FOX215"/>
      <c r="FOY215"/>
      <c r="FOZ215"/>
      <c r="FPA215"/>
      <c r="FPB215"/>
      <c r="FPC215"/>
      <c r="FPD215"/>
      <c r="FPE215"/>
      <c r="FPF215"/>
      <c r="FPG215"/>
      <c r="FPH215"/>
      <c r="FPI215"/>
      <c r="FPJ215"/>
      <c r="FPK215"/>
      <c r="FPL215"/>
      <c r="FPM215"/>
      <c r="FPN215"/>
      <c r="FPO215"/>
      <c r="FPP215"/>
      <c r="FPQ215"/>
      <c r="FPR215"/>
      <c r="FPS215"/>
      <c r="FPT215"/>
      <c r="FPU215"/>
      <c r="FPV215"/>
      <c r="FPW215"/>
      <c r="FPX215"/>
      <c r="FPY215"/>
      <c r="FPZ215"/>
      <c r="FQA215"/>
      <c r="FQB215"/>
      <c r="FQC215"/>
      <c r="FQD215"/>
      <c r="FQE215"/>
      <c r="FQF215"/>
      <c r="FQG215"/>
      <c r="FQH215"/>
      <c r="FQI215"/>
      <c r="FQJ215"/>
      <c r="FQK215"/>
      <c r="FQL215"/>
      <c r="FQM215"/>
      <c r="FQN215"/>
      <c r="FQO215"/>
      <c r="FQP215"/>
      <c r="FQQ215"/>
      <c r="FQR215"/>
      <c r="FQS215"/>
      <c r="FQT215"/>
      <c r="FQU215"/>
      <c r="FQV215"/>
      <c r="FQW215"/>
      <c r="FQX215"/>
      <c r="FQY215"/>
      <c r="FQZ215"/>
      <c r="FRA215"/>
      <c r="FRB215"/>
      <c r="FRC215"/>
      <c r="FRD215"/>
      <c r="FRE215"/>
      <c r="FRF215"/>
      <c r="FRG215"/>
      <c r="FRH215"/>
      <c r="FRI215"/>
      <c r="FRJ215"/>
      <c r="FRK215"/>
      <c r="FRL215"/>
      <c r="FRM215"/>
      <c r="FRN215"/>
      <c r="FRO215"/>
      <c r="FRP215"/>
      <c r="FRQ215"/>
      <c r="FRR215"/>
      <c r="FRS215"/>
      <c r="FRT215"/>
      <c r="FRU215"/>
      <c r="FRV215"/>
      <c r="FRW215"/>
      <c r="FRX215"/>
      <c r="FRY215"/>
      <c r="FRZ215"/>
      <c r="FSA215"/>
      <c r="FSB215"/>
      <c r="FSC215"/>
      <c r="FSD215"/>
      <c r="FSE215"/>
      <c r="FSF215"/>
      <c r="FSG215"/>
      <c r="FSH215"/>
      <c r="FSI215"/>
      <c r="FSJ215"/>
      <c r="FSK215"/>
      <c r="FSL215"/>
      <c r="FSM215"/>
      <c r="FSN215"/>
      <c r="FSO215"/>
      <c r="FSP215"/>
      <c r="FSQ215"/>
      <c r="FSR215"/>
      <c r="FSS215"/>
      <c r="FST215"/>
      <c r="FSU215"/>
      <c r="FSV215"/>
      <c r="FSW215"/>
      <c r="FSX215"/>
      <c r="FSY215"/>
      <c r="FSZ215"/>
      <c r="FTA215"/>
      <c r="FTB215"/>
      <c r="FTC215"/>
      <c r="FTD215"/>
      <c r="FTE215"/>
      <c r="FTF215"/>
      <c r="FTG215"/>
      <c r="FTH215"/>
      <c r="FTI215"/>
      <c r="FTJ215"/>
      <c r="FTK215"/>
      <c r="FTL215"/>
      <c r="FTM215"/>
      <c r="FTN215"/>
      <c r="FTO215"/>
      <c r="FTP215"/>
      <c r="FTQ215"/>
      <c r="FTR215"/>
      <c r="FTS215"/>
      <c r="FTT215"/>
      <c r="FTU215"/>
      <c r="FTV215"/>
      <c r="FTW215"/>
      <c r="FTX215"/>
      <c r="FTY215"/>
      <c r="FTZ215"/>
      <c r="FUA215"/>
      <c r="FUB215"/>
      <c r="FUC215"/>
      <c r="FUD215"/>
      <c r="FUE215"/>
      <c r="FUF215"/>
      <c r="FUG215"/>
      <c r="FUH215"/>
      <c r="FUI215"/>
      <c r="FUJ215"/>
      <c r="FUK215"/>
      <c r="FUL215"/>
      <c r="FUM215"/>
      <c r="FUN215"/>
      <c r="FUO215"/>
      <c r="FUP215"/>
      <c r="FUQ215"/>
      <c r="FUR215"/>
      <c r="FUS215"/>
      <c r="FUT215"/>
      <c r="FUU215"/>
      <c r="FUV215"/>
      <c r="FUW215"/>
      <c r="FUX215"/>
      <c r="FUY215"/>
      <c r="FUZ215"/>
      <c r="FVA215"/>
      <c r="FVB215"/>
      <c r="FVC215"/>
      <c r="FVD215"/>
      <c r="FVE215"/>
      <c r="FVF215"/>
      <c r="FVG215"/>
      <c r="FVH215"/>
      <c r="FVI215"/>
      <c r="FVJ215"/>
      <c r="FVK215"/>
      <c r="FVL215"/>
      <c r="FVM215"/>
      <c r="FVN215"/>
      <c r="FVO215"/>
      <c r="FVP215"/>
      <c r="FVQ215"/>
      <c r="FVR215"/>
      <c r="FVS215"/>
      <c r="FVT215"/>
      <c r="FVU215"/>
      <c r="FVV215"/>
      <c r="FVW215"/>
      <c r="FVX215"/>
      <c r="FVY215"/>
      <c r="FVZ215"/>
      <c r="FWA215"/>
      <c r="FWB215"/>
      <c r="FWC215"/>
      <c r="FWD215"/>
      <c r="FWE215"/>
      <c r="FWF215"/>
      <c r="FWG215"/>
      <c r="FWH215"/>
      <c r="FWI215"/>
      <c r="FWJ215"/>
      <c r="FWK215"/>
      <c r="FWL215"/>
      <c r="FWM215"/>
      <c r="FWN215"/>
      <c r="FWO215"/>
      <c r="FWP215"/>
      <c r="FWQ215"/>
      <c r="FWR215"/>
      <c r="FWS215"/>
      <c r="FWT215"/>
      <c r="FWU215"/>
      <c r="FWV215"/>
      <c r="FWW215"/>
      <c r="FWX215"/>
      <c r="FWY215"/>
      <c r="FWZ215"/>
      <c r="FXA215"/>
      <c r="FXB215"/>
      <c r="FXC215"/>
      <c r="FXD215"/>
      <c r="FXE215"/>
      <c r="FXF215"/>
      <c r="FXG215"/>
      <c r="FXH215"/>
      <c r="FXI215"/>
      <c r="FXJ215"/>
      <c r="FXK215"/>
      <c r="FXL215"/>
      <c r="FXM215"/>
      <c r="FXN215"/>
      <c r="FXO215"/>
      <c r="FXP215"/>
      <c r="FXQ215"/>
      <c r="FXR215"/>
      <c r="FXS215"/>
      <c r="FXT215"/>
      <c r="FXU215"/>
      <c r="FXV215"/>
      <c r="FXW215"/>
      <c r="FXX215"/>
      <c r="FXY215"/>
      <c r="FXZ215"/>
      <c r="FYA215"/>
      <c r="FYB215"/>
      <c r="FYC215"/>
      <c r="FYD215"/>
      <c r="FYE215"/>
      <c r="FYF215"/>
      <c r="FYG215"/>
      <c r="FYH215"/>
      <c r="FYI215"/>
      <c r="FYJ215"/>
      <c r="FYK215"/>
      <c r="FYL215"/>
      <c r="FYM215"/>
      <c r="FYN215"/>
      <c r="FYO215"/>
      <c r="FYP215"/>
      <c r="FYQ215"/>
      <c r="FYR215"/>
      <c r="FYS215"/>
      <c r="FYT215"/>
      <c r="FYU215"/>
      <c r="FYV215"/>
      <c r="FYW215"/>
      <c r="FYX215"/>
      <c r="FYY215"/>
      <c r="FYZ215"/>
      <c r="FZA215"/>
      <c r="FZB215"/>
      <c r="FZC215"/>
      <c r="FZD215"/>
      <c r="FZE215"/>
      <c r="FZF215"/>
      <c r="FZG215"/>
      <c r="FZH215"/>
      <c r="FZI215"/>
      <c r="FZJ215"/>
      <c r="FZK215"/>
      <c r="FZL215"/>
      <c r="FZM215"/>
      <c r="FZN215"/>
      <c r="FZO215"/>
      <c r="FZP215"/>
      <c r="FZQ215"/>
      <c r="FZR215"/>
      <c r="FZS215"/>
      <c r="FZT215"/>
      <c r="FZU215"/>
      <c r="FZV215"/>
      <c r="FZW215"/>
      <c r="FZX215"/>
      <c r="FZY215"/>
      <c r="FZZ215"/>
      <c r="GAA215"/>
      <c r="GAB215"/>
      <c r="GAC215"/>
      <c r="GAD215"/>
      <c r="GAE215"/>
      <c r="GAF215"/>
      <c r="GAG215"/>
      <c r="GAH215"/>
      <c r="GAI215"/>
      <c r="GAJ215"/>
      <c r="GAK215"/>
      <c r="GAL215"/>
      <c r="GAM215"/>
      <c r="GAN215"/>
      <c r="GAO215"/>
      <c r="GAP215"/>
      <c r="GAQ215"/>
      <c r="GAR215"/>
      <c r="GAS215"/>
      <c r="GAT215"/>
      <c r="GAU215"/>
      <c r="GAV215"/>
      <c r="GAW215"/>
      <c r="GAX215"/>
      <c r="GAY215"/>
      <c r="GAZ215"/>
      <c r="GBA215"/>
      <c r="GBB215"/>
      <c r="GBC215"/>
      <c r="GBD215"/>
      <c r="GBE215"/>
      <c r="GBF215"/>
      <c r="GBG215"/>
      <c r="GBH215"/>
      <c r="GBI215"/>
      <c r="GBJ215"/>
      <c r="GBK215"/>
      <c r="GBL215"/>
      <c r="GBM215"/>
      <c r="GBN215"/>
      <c r="GBO215"/>
      <c r="GBP215"/>
      <c r="GBQ215"/>
      <c r="GBR215"/>
      <c r="GBS215"/>
      <c r="GBT215"/>
      <c r="GBU215"/>
      <c r="GBV215"/>
      <c r="GBW215"/>
      <c r="GBX215"/>
      <c r="GBY215"/>
      <c r="GBZ215"/>
      <c r="GCA215"/>
      <c r="GCB215"/>
      <c r="GCC215"/>
      <c r="GCD215"/>
      <c r="GCE215"/>
      <c r="GCF215"/>
      <c r="GCG215"/>
      <c r="GCH215"/>
      <c r="GCI215"/>
      <c r="GCJ215"/>
      <c r="GCK215"/>
      <c r="GCL215"/>
      <c r="GCM215"/>
      <c r="GCN215"/>
      <c r="GCO215"/>
      <c r="GCP215"/>
      <c r="GCQ215"/>
      <c r="GCR215"/>
      <c r="GCS215"/>
      <c r="GCT215"/>
      <c r="GCU215"/>
      <c r="GCV215"/>
      <c r="GCW215"/>
      <c r="GCX215"/>
      <c r="GCY215"/>
      <c r="GCZ215"/>
      <c r="GDA215"/>
      <c r="GDB215"/>
      <c r="GDC215"/>
      <c r="GDD215"/>
      <c r="GDE215"/>
      <c r="GDF215"/>
      <c r="GDG215"/>
      <c r="GDH215"/>
      <c r="GDI215"/>
      <c r="GDJ215"/>
      <c r="GDK215"/>
      <c r="GDL215"/>
      <c r="GDM215"/>
      <c r="GDN215"/>
      <c r="GDO215"/>
      <c r="GDP215"/>
      <c r="GDQ215"/>
      <c r="GDR215"/>
      <c r="GDS215"/>
      <c r="GDT215"/>
      <c r="GDU215"/>
      <c r="GDV215"/>
      <c r="GDW215"/>
      <c r="GDX215"/>
      <c r="GDY215"/>
      <c r="GDZ215"/>
      <c r="GEA215"/>
      <c r="GEB215"/>
      <c r="GEC215"/>
      <c r="GED215"/>
      <c r="GEE215"/>
      <c r="GEF215"/>
      <c r="GEG215"/>
      <c r="GEH215"/>
      <c r="GEI215"/>
      <c r="GEJ215"/>
      <c r="GEK215"/>
      <c r="GEL215"/>
      <c r="GEM215"/>
      <c r="GEN215"/>
      <c r="GEO215"/>
      <c r="GEP215"/>
      <c r="GEQ215"/>
      <c r="GER215"/>
      <c r="GES215"/>
      <c r="GET215"/>
      <c r="GEU215"/>
      <c r="GEV215"/>
      <c r="GEW215"/>
      <c r="GEX215"/>
      <c r="GEY215"/>
      <c r="GEZ215"/>
      <c r="GFA215"/>
      <c r="GFB215"/>
      <c r="GFC215"/>
      <c r="GFD215"/>
      <c r="GFE215"/>
      <c r="GFF215"/>
      <c r="GFG215"/>
      <c r="GFH215"/>
      <c r="GFI215"/>
      <c r="GFJ215"/>
      <c r="GFK215"/>
      <c r="GFL215"/>
      <c r="GFM215"/>
      <c r="GFN215"/>
      <c r="GFO215"/>
      <c r="GFP215"/>
      <c r="GFQ215"/>
      <c r="GFR215"/>
      <c r="GFS215"/>
      <c r="GFT215"/>
      <c r="GFU215"/>
      <c r="GFV215"/>
      <c r="GFW215"/>
      <c r="GFX215"/>
      <c r="GFY215"/>
      <c r="GFZ215"/>
      <c r="GGA215"/>
      <c r="GGB215"/>
      <c r="GGC215"/>
      <c r="GGD215"/>
      <c r="GGE215"/>
      <c r="GGF215"/>
      <c r="GGG215"/>
      <c r="GGH215"/>
      <c r="GGI215"/>
      <c r="GGJ215"/>
      <c r="GGK215"/>
      <c r="GGL215"/>
      <c r="GGM215"/>
      <c r="GGN215"/>
      <c r="GGO215"/>
      <c r="GGP215"/>
      <c r="GGQ215"/>
      <c r="GGR215"/>
      <c r="GGS215"/>
      <c r="GGT215"/>
      <c r="GGU215"/>
      <c r="GGV215"/>
      <c r="GGW215"/>
      <c r="GGX215"/>
      <c r="GGY215"/>
      <c r="GGZ215"/>
      <c r="GHA215"/>
      <c r="GHB215"/>
      <c r="GHC215"/>
      <c r="GHD215"/>
      <c r="GHE215"/>
      <c r="GHF215"/>
      <c r="GHG215"/>
      <c r="GHH215"/>
      <c r="GHI215"/>
      <c r="GHJ215"/>
      <c r="GHK215"/>
      <c r="GHL215"/>
      <c r="GHM215"/>
      <c r="GHN215"/>
      <c r="GHO215"/>
      <c r="GHP215"/>
      <c r="GHQ215"/>
      <c r="GHR215"/>
      <c r="GHS215"/>
      <c r="GHT215"/>
      <c r="GHU215"/>
      <c r="GHV215"/>
      <c r="GHW215"/>
      <c r="GHX215"/>
      <c r="GHY215"/>
      <c r="GHZ215"/>
      <c r="GIA215"/>
      <c r="GIB215"/>
      <c r="GIC215"/>
      <c r="GID215"/>
      <c r="GIE215"/>
      <c r="GIF215"/>
      <c r="GIG215"/>
      <c r="GIH215"/>
      <c r="GII215"/>
      <c r="GIJ215"/>
      <c r="GIK215"/>
      <c r="GIL215"/>
      <c r="GIM215"/>
      <c r="GIN215"/>
      <c r="GIO215"/>
      <c r="GIP215"/>
      <c r="GIQ215"/>
      <c r="GIR215"/>
      <c r="GIS215"/>
      <c r="GIT215"/>
      <c r="GIU215"/>
      <c r="GIV215"/>
      <c r="GIW215"/>
      <c r="GIX215"/>
      <c r="GIY215"/>
      <c r="GIZ215"/>
      <c r="GJA215"/>
      <c r="GJB215"/>
      <c r="GJC215"/>
      <c r="GJD215"/>
      <c r="GJE215"/>
      <c r="GJF215"/>
      <c r="GJG215"/>
      <c r="GJH215"/>
      <c r="GJI215"/>
      <c r="GJJ215"/>
      <c r="GJK215"/>
      <c r="GJL215"/>
      <c r="GJM215"/>
      <c r="GJN215"/>
      <c r="GJO215"/>
      <c r="GJP215"/>
      <c r="GJQ215"/>
      <c r="GJR215"/>
      <c r="GJS215"/>
      <c r="GJT215"/>
      <c r="GJU215"/>
      <c r="GJV215"/>
      <c r="GJW215"/>
      <c r="GJX215"/>
      <c r="GJY215"/>
      <c r="GJZ215"/>
      <c r="GKA215"/>
      <c r="GKB215"/>
      <c r="GKC215"/>
      <c r="GKD215"/>
      <c r="GKE215"/>
      <c r="GKF215"/>
      <c r="GKG215"/>
      <c r="GKH215"/>
      <c r="GKI215"/>
      <c r="GKJ215"/>
      <c r="GKK215"/>
      <c r="GKL215"/>
      <c r="GKM215"/>
      <c r="GKN215"/>
      <c r="GKO215"/>
      <c r="GKP215"/>
      <c r="GKQ215"/>
      <c r="GKR215"/>
      <c r="GKS215"/>
      <c r="GKT215"/>
      <c r="GKU215"/>
      <c r="GKV215"/>
      <c r="GKW215"/>
      <c r="GKX215"/>
      <c r="GKY215"/>
      <c r="GKZ215"/>
      <c r="GLA215"/>
      <c r="GLB215"/>
      <c r="GLC215"/>
      <c r="GLD215"/>
      <c r="GLE215"/>
      <c r="GLF215"/>
      <c r="GLG215"/>
      <c r="GLH215"/>
      <c r="GLI215"/>
      <c r="GLJ215"/>
      <c r="GLK215"/>
    </row>
    <row r="216" spans="1:5055" s="38" customFormat="1">
      <c r="A216" s="78">
        <v>213</v>
      </c>
      <c r="B216" s="77" t="s">
        <v>174</v>
      </c>
      <c r="C216" s="33" t="s">
        <v>284</v>
      </c>
      <c r="D216" s="31" t="s">
        <v>178</v>
      </c>
      <c r="E216" s="7">
        <v>46202</v>
      </c>
      <c r="F216" s="11" t="s">
        <v>282</v>
      </c>
      <c r="G216" s="11" t="s">
        <v>281</v>
      </c>
      <c r="H216" s="4" t="s">
        <v>0</v>
      </c>
      <c r="I216" s="5">
        <v>4758</v>
      </c>
      <c r="J216" s="6" t="s">
        <v>194</v>
      </c>
      <c r="K216" s="2">
        <v>8000</v>
      </c>
      <c r="L216" s="2">
        <f t="shared" ref="L216" si="346">+K216*0.975</f>
        <v>7800</v>
      </c>
      <c r="M216" s="12">
        <f t="shared" ref="M216" si="347">+L216-K216</f>
        <v>-200</v>
      </c>
      <c r="N216" s="21">
        <f t="shared" ref="N216" si="348">+L216/K216</f>
        <v>0.97499999999999998</v>
      </c>
      <c r="O216" s="56">
        <f>E216+P216+1+3</f>
        <v>46226.830729492147</v>
      </c>
      <c r="P216" s="25">
        <f t="shared" ref="P216" si="349">+L216/Q216</f>
        <v>20.830729492146816</v>
      </c>
      <c r="Q216" s="51">
        <f>630*40/60*0.975*0.9144</f>
        <v>374.4468</v>
      </c>
      <c r="R216" s="28"/>
      <c r="S216" s="28"/>
      <c r="T216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  <c r="FS216" s="28"/>
      <c r="FT216" s="28"/>
      <c r="FU216" s="28"/>
      <c r="FV216" s="28"/>
      <c r="FW216" s="28"/>
      <c r="FX216" s="28"/>
      <c r="FY216" s="28"/>
      <c r="FZ216" s="28"/>
      <c r="GA216" s="28"/>
      <c r="GB216" s="28"/>
      <c r="GC216" s="28"/>
      <c r="GD216" s="28"/>
      <c r="GE216" s="28"/>
      <c r="GF216" s="28"/>
      <c r="GG216" s="28"/>
      <c r="GH216" s="28"/>
      <c r="GI216" s="28"/>
      <c r="GJ216" s="28"/>
      <c r="GK216" s="28"/>
      <c r="GL216" s="28"/>
      <c r="GM216" s="28"/>
      <c r="GN216" s="28"/>
      <c r="GO216" s="28"/>
      <c r="GP216" s="28"/>
      <c r="GQ216" s="28"/>
      <c r="GR216" s="28"/>
      <c r="GS216" s="28"/>
      <c r="GT216" s="28"/>
      <c r="GU216" s="28"/>
      <c r="GV216" s="28"/>
      <c r="GW216" s="28"/>
      <c r="GX216" s="28"/>
      <c r="GY216" s="28"/>
      <c r="GZ216" s="28"/>
      <c r="HA216" s="28"/>
      <c r="HB216" s="28"/>
      <c r="HC216" s="28"/>
      <c r="HD216" s="28"/>
      <c r="HE216" s="28"/>
      <c r="HF216" s="28"/>
      <c r="HG216" s="28"/>
      <c r="HH216" s="28"/>
      <c r="HI216" s="28"/>
      <c r="HJ216" s="28"/>
      <c r="HK216" s="28"/>
      <c r="HL216" s="28"/>
      <c r="HM216" s="28"/>
      <c r="HN216" s="28"/>
      <c r="HO216" s="28"/>
      <c r="HP216" s="28"/>
      <c r="HQ216" s="28"/>
      <c r="HR216" s="28"/>
      <c r="HS216" s="28"/>
      <c r="HT216" s="28"/>
      <c r="HU216" s="28"/>
      <c r="HV216" s="28"/>
      <c r="HW216" s="28"/>
      <c r="HX216" s="28"/>
      <c r="HY216" s="28"/>
      <c r="HZ216" s="28"/>
      <c r="IA216" s="28"/>
      <c r="IB216" s="28"/>
      <c r="IC216" s="28"/>
      <c r="ID216" s="28"/>
      <c r="IE216" s="28"/>
      <c r="IF216" s="28"/>
      <c r="IG216" s="28"/>
      <c r="IH216" s="28"/>
      <c r="II216" s="28"/>
      <c r="IJ216" s="28"/>
      <c r="IK216" s="28"/>
      <c r="IL216" s="28"/>
      <c r="IM216" s="28"/>
      <c r="IN216" s="28"/>
      <c r="IO216" s="28"/>
      <c r="IP216" s="28"/>
      <c r="IQ216" s="28"/>
      <c r="IR216" s="28"/>
      <c r="IS216" s="28"/>
      <c r="IT216" s="28"/>
      <c r="IU216" s="28"/>
      <c r="IV216" s="28"/>
      <c r="IW216" s="28"/>
      <c r="IX216" s="28"/>
      <c r="IY216" s="28"/>
      <c r="IZ216" s="28"/>
      <c r="JA216" s="28"/>
      <c r="JB216" s="28"/>
      <c r="JC216" s="28"/>
      <c r="JD216" s="28"/>
      <c r="JE216" s="28"/>
      <c r="JF216" s="28"/>
      <c r="JG216" s="28"/>
      <c r="JH216" s="28"/>
      <c r="JI216" s="28"/>
      <c r="JJ216" s="28"/>
      <c r="JK216" s="28"/>
      <c r="JL216" s="28"/>
      <c r="JM216" s="28"/>
      <c r="JN216" s="28"/>
      <c r="JO216" s="28"/>
      <c r="JP216" s="28"/>
      <c r="JQ216" s="28"/>
      <c r="JR216" s="28"/>
      <c r="JS216" s="28"/>
      <c r="JT216" s="28"/>
      <c r="JU216" s="28"/>
      <c r="JV216" s="28"/>
      <c r="JW216" s="28"/>
      <c r="JX216" s="28"/>
      <c r="JY216" s="28"/>
      <c r="JZ216" s="28"/>
      <c r="KA216" s="28"/>
      <c r="KB216" s="28"/>
      <c r="KC216" s="28"/>
      <c r="KD216" s="28"/>
      <c r="KE216" s="28"/>
      <c r="KF216" s="28"/>
      <c r="KG216" s="28"/>
      <c r="KH216" s="28"/>
      <c r="KI216" s="28"/>
      <c r="KJ216" s="28"/>
      <c r="KK216" s="28"/>
      <c r="KL216" s="28"/>
      <c r="KM216" s="28"/>
      <c r="KN216" s="28"/>
      <c r="KO216" s="28"/>
      <c r="KP216" s="28"/>
      <c r="KQ216" s="28"/>
      <c r="KR216" s="28"/>
      <c r="KS216" s="28"/>
      <c r="KT216" s="28"/>
      <c r="KU216" s="28"/>
      <c r="KV216" s="28"/>
      <c r="KW216" s="28"/>
      <c r="KX216" s="28"/>
      <c r="KY216" s="28"/>
      <c r="KZ216" s="28"/>
      <c r="LA216" s="28"/>
      <c r="LB216" s="28"/>
      <c r="LC216" s="28"/>
      <c r="LD216" s="28"/>
      <c r="LE216" s="28"/>
      <c r="LF216" s="28"/>
      <c r="LG216" s="28"/>
      <c r="LH216" s="28"/>
      <c r="LI216" s="28"/>
      <c r="LJ216" s="28"/>
      <c r="LK216" s="28"/>
      <c r="LL216" s="28"/>
      <c r="LM216" s="28"/>
      <c r="LN216" s="28"/>
      <c r="LO216" s="28"/>
      <c r="LP216" s="28"/>
      <c r="LQ216" s="28"/>
      <c r="LR216" s="28"/>
      <c r="LS216" s="28"/>
      <c r="LT216" s="28"/>
      <c r="LU216" s="28"/>
      <c r="LV216" s="28"/>
      <c r="LW216" s="28"/>
      <c r="LX216" s="28"/>
      <c r="LY216" s="28"/>
      <c r="LZ216" s="28"/>
      <c r="MA216" s="28"/>
      <c r="MB216" s="28"/>
      <c r="MC216" s="28"/>
      <c r="MD216" s="28"/>
      <c r="ME216" s="28"/>
      <c r="MF216" s="28"/>
      <c r="MG216" s="28"/>
      <c r="MH216" s="28"/>
      <c r="MI216" s="28"/>
      <c r="MJ216" s="28"/>
      <c r="MK216" s="28"/>
      <c r="ML216" s="28"/>
      <c r="MM216" s="28"/>
      <c r="MN216" s="28"/>
      <c r="MO216" s="28"/>
      <c r="MP216" s="28"/>
      <c r="MQ216" s="28"/>
      <c r="MR216" s="28"/>
      <c r="MS216" s="28"/>
      <c r="MT216" s="28"/>
      <c r="MU216" s="28"/>
      <c r="MV216" s="28"/>
      <c r="MW216" s="28"/>
      <c r="MX216" s="28"/>
      <c r="MY216" s="28"/>
      <c r="MZ216" s="28"/>
      <c r="NA216" s="28"/>
      <c r="NB216" s="28"/>
      <c r="NC216" s="28"/>
      <c r="ND216" s="28"/>
      <c r="NE216" s="28"/>
      <c r="NF216" s="28"/>
      <c r="NG216" s="28"/>
      <c r="NH216" s="28"/>
      <c r="NI216" s="28"/>
      <c r="NJ216" s="28"/>
      <c r="NK216" s="28"/>
      <c r="NL216" s="28"/>
      <c r="NM216" s="28"/>
      <c r="NN216" s="28"/>
      <c r="NO216" s="28"/>
      <c r="NP216" s="28"/>
      <c r="NQ216" s="28"/>
      <c r="NR216" s="28"/>
      <c r="NS216" s="28"/>
      <c r="NT216" s="28"/>
      <c r="NU216" s="28"/>
      <c r="NV216" s="28"/>
      <c r="NW216" s="28"/>
      <c r="NX216" s="28"/>
      <c r="NY216" s="28"/>
      <c r="NZ216" s="28"/>
      <c r="OA216" s="28"/>
      <c r="OB216" s="28"/>
      <c r="OC216" s="28"/>
      <c r="OD216" s="28"/>
      <c r="OE216" s="28"/>
      <c r="OF216" s="28"/>
      <c r="OG216" s="28"/>
      <c r="OH216" s="28"/>
      <c r="OI216" s="28"/>
      <c r="OJ216" s="28"/>
      <c r="OK216" s="28"/>
      <c r="OL216" s="28"/>
      <c r="OM216" s="28"/>
      <c r="ON216" s="28"/>
      <c r="OO216" s="28"/>
      <c r="OP216" s="28"/>
      <c r="OQ216" s="28"/>
      <c r="OR216" s="28"/>
      <c r="OS216" s="28"/>
      <c r="OT216" s="28"/>
      <c r="OU216" s="28"/>
      <c r="OV216" s="28"/>
      <c r="OW216" s="28"/>
      <c r="OX216" s="28"/>
      <c r="OY216" s="28"/>
      <c r="OZ216" s="28"/>
      <c r="PA216" s="28"/>
      <c r="PB216" s="28"/>
      <c r="PC216" s="28"/>
      <c r="PD216" s="28"/>
      <c r="PE216" s="28"/>
      <c r="PF216" s="28"/>
      <c r="PG216" s="28"/>
      <c r="PH216" s="28"/>
      <c r="PI216" s="28"/>
      <c r="PJ216" s="28"/>
      <c r="PK216" s="28"/>
      <c r="PL216" s="28"/>
      <c r="PM216" s="28"/>
      <c r="PN216" s="28"/>
      <c r="PO216" s="28"/>
      <c r="PP216" s="28"/>
      <c r="PQ216" s="28"/>
      <c r="PR216" s="28"/>
      <c r="PS216" s="28"/>
      <c r="PT216" s="28"/>
      <c r="PU216" s="28"/>
      <c r="PV216" s="28"/>
      <c r="PW216" s="28"/>
      <c r="PX216" s="28"/>
      <c r="PY216" s="28"/>
      <c r="PZ216" s="28"/>
      <c r="QA216" s="28"/>
      <c r="QB216" s="28"/>
      <c r="QC216" s="28"/>
      <c r="QD216" s="28"/>
      <c r="QE216" s="28"/>
      <c r="QF216" s="28"/>
      <c r="QG216" s="28"/>
      <c r="QH216" s="28"/>
      <c r="QI216" s="28"/>
      <c r="QJ216" s="28"/>
      <c r="QK216" s="28"/>
      <c r="QL216" s="28"/>
      <c r="QM216" s="28"/>
      <c r="QN216" s="28"/>
      <c r="QO216" s="28"/>
      <c r="QP216" s="28"/>
      <c r="QQ216" s="28"/>
      <c r="QR216" s="28"/>
      <c r="QS216" s="28"/>
      <c r="QT216" s="28"/>
      <c r="QU216" s="28"/>
      <c r="QV216" s="28"/>
      <c r="QW216" s="28"/>
      <c r="QX216" s="28"/>
      <c r="QY216" s="28"/>
      <c r="QZ216" s="28"/>
      <c r="RA216" s="28"/>
      <c r="RB216" s="28"/>
      <c r="RC216" s="28"/>
      <c r="RD216" s="28"/>
      <c r="RE216" s="28"/>
      <c r="RF216" s="28"/>
      <c r="RG216" s="28"/>
      <c r="RH216" s="28"/>
      <c r="RI216" s="28"/>
      <c r="RJ216" s="28"/>
      <c r="RK216" s="28"/>
      <c r="RL216" s="28"/>
      <c r="RM216" s="28"/>
      <c r="RN216" s="28"/>
      <c r="RO216" s="28"/>
      <c r="RP216" s="28"/>
      <c r="RQ216" s="28"/>
      <c r="RR216" s="28"/>
      <c r="RS216" s="28"/>
      <c r="RT216" s="28"/>
      <c r="RU216" s="28"/>
      <c r="RV216" s="28"/>
      <c r="RW216" s="28"/>
      <c r="RX216" s="28"/>
      <c r="RY216" s="28"/>
      <c r="RZ216" s="28"/>
      <c r="SA216" s="28"/>
      <c r="SB216" s="28"/>
      <c r="SC216" s="28"/>
      <c r="SD216" s="28"/>
      <c r="SE216" s="28"/>
      <c r="SF216" s="28"/>
      <c r="SG216" s="28"/>
      <c r="SH216" s="28"/>
      <c r="SI216" s="28"/>
      <c r="SJ216" s="28"/>
      <c r="SK216" s="28"/>
      <c r="SL216" s="28"/>
      <c r="SM216" s="28"/>
      <c r="SN216" s="28"/>
      <c r="SO216" s="28"/>
      <c r="SP216" s="28"/>
      <c r="SQ216" s="28"/>
      <c r="SR216" s="28"/>
      <c r="SS216" s="28"/>
      <c r="ST216" s="28"/>
      <c r="SU216" s="28"/>
      <c r="SV216" s="28"/>
      <c r="SW216" s="28"/>
      <c r="SX216" s="28"/>
      <c r="SY216" s="28"/>
      <c r="SZ216" s="28"/>
      <c r="TA216" s="28"/>
      <c r="TB216" s="28"/>
      <c r="TC216" s="28"/>
      <c r="TD216" s="28"/>
      <c r="TE216" s="28"/>
      <c r="TF216" s="28"/>
      <c r="TG216" s="28"/>
      <c r="TH216" s="28"/>
      <c r="TI216" s="28"/>
      <c r="TJ216" s="28"/>
      <c r="TK216" s="28"/>
      <c r="TL216" s="28"/>
      <c r="TM216" s="28"/>
      <c r="TN216" s="28"/>
      <c r="TO216" s="28"/>
      <c r="TP216" s="28"/>
      <c r="TQ216" s="28"/>
      <c r="TR216" s="28"/>
      <c r="TS216" s="28"/>
      <c r="TT216" s="28"/>
      <c r="TU216" s="28"/>
      <c r="TV216" s="28"/>
      <c r="TW216" s="28"/>
      <c r="TX216" s="28"/>
      <c r="TY216" s="28"/>
      <c r="TZ216" s="28"/>
      <c r="UA216" s="28"/>
      <c r="UB216" s="28"/>
      <c r="UC216" s="28"/>
      <c r="UD216" s="28"/>
      <c r="UE216" s="28"/>
      <c r="UF216" s="28"/>
      <c r="UG216" s="28"/>
      <c r="UH216" s="28"/>
      <c r="UI216" s="28"/>
      <c r="UJ216" s="28"/>
      <c r="UK216" s="28"/>
      <c r="UL216" s="28"/>
      <c r="UM216" s="28"/>
      <c r="UN216" s="28"/>
      <c r="UO216" s="28"/>
      <c r="UP216" s="28"/>
      <c r="UQ216" s="28"/>
      <c r="UR216" s="28"/>
      <c r="US216" s="28"/>
      <c r="UT216" s="28"/>
      <c r="UU216" s="28"/>
      <c r="UV216" s="28"/>
      <c r="UW216" s="28"/>
      <c r="UX216" s="28"/>
      <c r="UY216" s="28"/>
      <c r="UZ216" s="28"/>
      <c r="VA216" s="28"/>
      <c r="VB216" s="28"/>
      <c r="VC216" s="28"/>
      <c r="VD216" s="28"/>
      <c r="VE216" s="28"/>
      <c r="VF216" s="28"/>
      <c r="VG216" s="28"/>
      <c r="VH216" s="28"/>
      <c r="VI216" s="28"/>
      <c r="VJ216" s="28"/>
      <c r="VK216" s="28"/>
      <c r="VL216" s="28"/>
      <c r="VM216" s="28"/>
      <c r="VN216" s="28"/>
      <c r="VO216" s="28"/>
      <c r="VP216" s="28"/>
      <c r="VQ216" s="28"/>
      <c r="VR216" s="28"/>
      <c r="VS216" s="28"/>
      <c r="VT216" s="28"/>
      <c r="VU216" s="28"/>
      <c r="VV216" s="28"/>
      <c r="VW216" s="28"/>
      <c r="VX216" s="28"/>
      <c r="VY216" s="28"/>
      <c r="VZ216" s="28"/>
      <c r="WA216" s="28"/>
      <c r="WB216" s="28"/>
      <c r="WC216" s="28"/>
      <c r="WD216" s="28"/>
      <c r="WE216" s="28"/>
      <c r="WF216" s="28"/>
      <c r="WG216" s="28"/>
      <c r="WH216" s="28"/>
      <c r="WI216" s="28"/>
      <c r="WJ216" s="28"/>
      <c r="WK216" s="28"/>
      <c r="WL216" s="28"/>
      <c r="WM216" s="28"/>
      <c r="WN216" s="28"/>
      <c r="WO216" s="28"/>
      <c r="WP216" s="28"/>
      <c r="WQ216" s="28"/>
      <c r="WR216" s="28"/>
      <c r="WS216" s="28"/>
      <c r="WT216" s="28"/>
      <c r="WU216" s="28"/>
      <c r="WV216" s="28"/>
      <c r="WW216" s="28"/>
      <c r="WX216" s="28"/>
      <c r="WY216" s="28"/>
      <c r="WZ216" s="28"/>
      <c r="XA216" s="28"/>
      <c r="XB216" s="28"/>
      <c r="XC216" s="28"/>
      <c r="XD216" s="28"/>
      <c r="XE216" s="28"/>
      <c r="XF216" s="28"/>
      <c r="XG216" s="28"/>
      <c r="XH216" s="28"/>
      <c r="XI216" s="28"/>
      <c r="XJ216" s="28"/>
      <c r="XK216" s="28"/>
      <c r="XL216" s="28"/>
      <c r="XM216" s="28"/>
      <c r="XN216" s="28"/>
      <c r="XO216" s="28"/>
      <c r="XP216" s="28"/>
      <c r="XQ216" s="28"/>
      <c r="XR216" s="28"/>
      <c r="XS216" s="28"/>
      <c r="XT216" s="28"/>
      <c r="XU216" s="28"/>
      <c r="XV216" s="28"/>
      <c r="XW216" s="28"/>
      <c r="XX216" s="28"/>
      <c r="XY216" s="28"/>
      <c r="XZ216" s="28"/>
      <c r="YA216" s="28"/>
      <c r="YB216" s="28"/>
      <c r="YC216" s="28"/>
      <c r="YD216" s="28"/>
      <c r="YE216" s="28"/>
      <c r="YF216" s="28"/>
      <c r="YG216" s="28"/>
      <c r="YH216" s="28"/>
      <c r="YI216" s="28"/>
      <c r="YJ216" s="28"/>
      <c r="YK216" s="28"/>
      <c r="YL216" s="28"/>
      <c r="YM216" s="28"/>
      <c r="YN216" s="28"/>
      <c r="YO216" s="28"/>
      <c r="YP216" s="28"/>
      <c r="YQ216" s="28"/>
      <c r="YR216" s="28"/>
      <c r="YS216" s="28"/>
      <c r="YT216" s="28"/>
      <c r="YU216" s="28"/>
      <c r="YV216" s="28"/>
      <c r="YW216" s="28"/>
      <c r="YX216" s="28"/>
      <c r="YY216" s="28"/>
      <c r="YZ216" s="28"/>
      <c r="ZA216" s="28"/>
      <c r="ZB216" s="28"/>
      <c r="ZC216" s="28"/>
      <c r="ZD216" s="28"/>
      <c r="ZE216" s="28"/>
      <c r="ZF216" s="28"/>
      <c r="ZG216" s="28"/>
      <c r="ZH216" s="28"/>
      <c r="ZI216" s="28"/>
      <c r="ZJ216" s="28"/>
      <c r="ZK216" s="28"/>
      <c r="ZL216" s="28"/>
      <c r="ZM216" s="28"/>
      <c r="ZN216" s="28"/>
      <c r="ZO216" s="28"/>
      <c r="ZP216" s="28"/>
      <c r="ZQ216" s="28"/>
      <c r="ZR216" s="28"/>
      <c r="ZS216" s="28"/>
      <c r="ZT216" s="28"/>
      <c r="ZU216" s="28"/>
      <c r="ZV216" s="28"/>
      <c r="ZW216" s="28"/>
      <c r="ZX216" s="28"/>
      <c r="ZY216" s="28"/>
      <c r="ZZ216" s="28"/>
      <c r="AAA216" s="28"/>
      <c r="AAB216" s="28"/>
      <c r="AAC216" s="28"/>
      <c r="AAD216" s="28"/>
      <c r="AAE216" s="28"/>
      <c r="AAF216" s="28"/>
      <c r="AAG216" s="28"/>
      <c r="AAH216" s="28"/>
      <c r="AAI216" s="28"/>
      <c r="AAJ216" s="28"/>
      <c r="AAK216" s="28"/>
      <c r="AAL216" s="28"/>
      <c r="AAM216" s="28"/>
      <c r="AAN216" s="28"/>
      <c r="AAO216" s="28"/>
      <c r="AAP216" s="28"/>
      <c r="AAQ216" s="28"/>
      <c r="AAR216" s="28"/>
      <c r="AAS216" s="28"/>
      <c r="AAT216" s="28"/>
      <c r="AAU216" s="28"/>
      <c r="AAV216" s="28"/>
      <c r="AAW216" s="28"/>
      <c r="AAX216" s="28"/>
      <c r="AAY216" s="28"/>
      <c r="AAZ216" s="28"/>
      <c r="ABA216" s="28"/>
      <c r="ABB216" s="28"/>
      <c r="ABC216" s="28"/>
      <c r="ABD216" s="28"/>
      <c r="ABE216" s="28"/>
      <c r="ABF216" s="28"/>
      <c r="ABG216" s="28"/>
      <c r="ABH216" s="28"/>
      <c r="ABI216" s="28"/>
      <c r="ABJ216" s="28"/>
      <c r="ABK216" s="28"/>
      <c r="ABL216" s="28"/>
      <c r="ABM216" s="28"/>
      <c r="ABN216" s="28"/>
      <c r="ABO216" s="28"/>
      <c r="ABP216" s="28"/>
      <c r="ABQ216" s="28"/>
      <c r="ABR216" s="28"/>
      <c r="ABS216" s="28"/>
      <c r="ABT216" s="28"/>
      <c r="ABU216" s="28"/>
      <c r="ABV216" s="28"/>
      <c r="ABW216" s="28"/>
      <c r="ABX216" s="28"/>
      <c r="ABY216" s="28"/>
      <c r="ABZ216" s="28"/>
      <c r="ACA216" s="28"/>
      <c r="ACB216" s="28"/>
      <c r="ACC216" s="28"/>
      <c r="ACD216" s="28"/>
      <c r="ACE216" s="28"/>
      <c r="ACF216" s="28"/>
      <c r="ACG216" s="28"/>
      <c r="ACH216" s="28"/>
      <c r="ACI216" s="28"/>
      <c r="ACJ216" s="28"/>
      <c r="ACK216" s="28"/>
      <c r="ACL216" s="28"/>
      <c r="ACM216" s="28"/>
      <c r="ACN216" s="28"/>
      <c r="ACO216" s="28"/>
      <c r="ACP216" s="28"/>
      <c r="ACQ216" s="28"/>
      <c r="ACR216" s="28"/>
      <c r="ACS216" s="28"/>
      <c r="ACT216" s="28"/>
      <c r="ACU216" s="28"/>
      <c r="ACV216" s="28"/>
      <c r="ACW216" s="28"/>
      <c r="ACX216" s="28"/>
      <c r="ACY216" s="28"/>
      <c r="ACZ216" s="28"/>
      <c r="ADA216" s="28"/>
      <c r="ADB216" s="28"/>
      <c r="ADC216" s="28"/>
      <c r="ADD216" s="28"/>
      <c r="ADE216" s="28"/>
      <c r="ADF216" s="28"/>
      <c r="ADG216" s="28"/>
      <c r="ADH216" s="28"/>
      <c r="ADI216" s="28"/>
      <c r="ADJ216" s="28"/>
      <c r="ADK216" s="28"/>
      <c r="ADL216" s="28"/>
      <c r="ADM216" s="28"/>
      <c r="ADN216" s="28"/>
      <c r="ADO216" s="28"/>
      <c r="ADP216" s="28"/>
      <c r="ADQ216" s="28"/>
      <c r="ADR216" s="28"/>
      <c r="ADS216" s="28"/>
      <c r="ADT216" s="28"/>
      <c r="ADU216" s="28"/>
      <c r="ADV216" s="28"/>
      <c r="ADW216" s="28"/>
      <c r="ADX216" s="28"/>
      <c r="ADY216" s="28"/>
      <c r="ADZ216" s="28"/>
      <c r="AEA216" s="28"/>
      <c r="AEB216" s="28"/>
      <c r="AEC216" s="28"/>
      <c r="AED216" s="28"/>
      <c r="AEE216" s="28"/>
      <c r="AEF216" s="28"/>
      <c r="AEG216" s="28"/>
      <c r="AEH216" s="28"/>
      <c r="AEI216" s="28"/>
      <c r="AEJ216" s="28"/>
      <c r="AEK216" s="28"/>
      <c r="AEL216" s="28"/>
      <c r="AEM216" s="28"/>
      <c r="AEN216" s="28"/>
      <c r="AEO216" s="28"/>
      <c r="AEP216" s="28"/>
      <c r="AEQ216" s="28"/>
      <c r="AER216" s="28"/>
      <c r="AES216" s="28"/>
      <c r="AET216" s="28"/>
      <c r="AEU216" s="28"/>
      <c r="AEV216" s="28"/>
      <c r="AEW216" s="28"/>
      <c r="AEX216" s="28"/>
      <c r="AEY216" s="28"/>
      <c r="AEZ216" s="28"/>
      <c r="AFA216" s="28"/>
      <c r="AFB216" s="28"/>
      <c r="AFC216" s="28"/>
      <c r="AFD216" s="28"/>
      <c r="AFE216" s="28"/>
      <c r="AFF216" s="28"/>
      <c r="AFG216" s="28"/>
      <c r="AFH216" s="28"/>
      <c r="AFI216" s="28"/>
      <c r="AFJ216" s="28"/>
      <c r="AFK216" s="28"/>
      <c r="AFL216" s="28"/>
      <c r="AFM216" s="28"/>
      <c r="AFN216" s="28"/>
      <c r="AFO216" s="28"/>
      <c r="AFP216" s="28"/>
      <c r="AFQ216" s="28"/>
      <c r="AFR216" s="28"/>
      <c r="AFS216" s="28"/>
      <c r="AFT216" s="28"/>
      <c r="AFU216" s="28"/>
      <c r="AFV216" s="28"/>
      <c r="AFW216" s="28"/>
      <c r="AFX216" s="28"/>
      <c r="AFY216" s="28"/>
      <c r="AFZ216" s="28"/>
      <c r="AGA216" s="28"/>
      <c r="AGB216" s="28"/>
      <c r="AGC216" s="28"/>
      <c r="AGD216" s="28"/>
      <c r="AGE216" s="28"/>
      <c r="AGF216" s="28"/>
      <c r="AGG216" s="28"/>
      <c r="AGH216" s="28"/>
      <c r="AGI216" s="28"/>
      <c r="AGJ216" s="28"/>
      <c r="AGK216" s="28"/>
      <c r="AGL216" s="28"/>
      <c r="AGM216" s="28"/>
      <c r="AGN216" s="28"/>
      <c r="AGO216" s="28"/>
      <c r="AGP216" s="28"/>
      <c r="AGQ216" s="28"/>
      <c r="AGR216" s="28"/>
      <c r="AGS216" s="28"/>
      <c r="AGT216" s="28"/>
      <c r="AGU216" s="28"/>
      <c r="AGV216" s="28"/>
      <c r="AGW216" s="28"/>
      <c r="AGX216" s="28"/>
      <c r="AGY216" s="28"/>
      <c r="AGZ216" s="28"/>
      <c r="AHA216" s="28"/>
      <c r="AHB216" s="28"/>
      <c r="AHC216" s="28"/>
      <c r="AHD216" s="28"/>
      <c r="AHE216" s="28"/>
      <c r="AHF216" s="28"/>
      <c r="AHG216" s="28"/>
      <c r="AHH216" s="28"/>
      <c r="AHI216" s="28"/>
      <c r="AHJ216" s="28"/>
      <c r="AHK216" s="28"/>
      <c r="AHL216" s="28"/>
      <c r="AHM216" s="28"/>
      <c r="AHN216" s="28"/>
      <c r="AHO216" s="28"/>
      <c r="AHP216" s="28"/>
      <c r="AHQ216" s="28"/>
      <c r="AHR216" s="28"/>
      <c r="AHS216" s="28"/>
      <c r="AHT216" s="28"/>
      <c r="AHU216" s="28"/>
      <c r="AHV216" s="28"/>
      <c r="AHW216" s="28"/>
      <c r="AHX216" s="28"/>
      <c r="AHY216" s="28"/>
      <c r="AHZ216" s="28"/>
      <c r="AIA216" s="28"/>
      <c r="AIB216" s="28"/>
      <c r="AIC216" s="28"/>
      <c r="AID216" s="28"/>
      <c r="AIE216" s="28"/>
      <c r="AIF216" s="28"/>
      <c r="AIG216" s="28"/>
      <c r="AIH216" s="28"/>
      <c r="AII216" s="28"/>
      <c r="AIJ216" s="28"/>
      <c r="AIK216" s="28"/>
      <c r="AIL216" s="28"/>
      <c r="AIM216" s="28"/>
      <c r="AIN216" s="28"/>
      <c r="AIO216" s="28"/>
      <c r="AIP216" s="28"/>
      <c r="AIQ216" s="28"/>
      <c r="AIR216" s="28"/>
      <c r="AIS216" s="28"/>
      <c r="AIT216" s="28"/>
      <c r="AIU216" s="28"/>
      <c r="AIV216" s="28"/>
      <c r="AIW216" s="28"/>
      <c r="AIX216" s="28"/>
      <c r="AIY216" s="28"/>
      <c r="AIZ216" s="28"/>
      <c r="AJA216" s="28"/>
      <c r="AJB216" s="28"/>
      <c r="AJC216" s="28"/>
      <c r="AJD216" s="28"/>
      <c r="AJE216" s="28"/>
      <c r="AJF216" s="28"/>
      <c r="AJG216" s="28"/>
      <c r="AJH216" s="28"/>
      <c r="AJI216" s="28"/>
      <c r="AJJ216" s="28"/>
      <c r="AJK216" s="28"/>
      <c r="AJL216" s="28"/>
      <c r="AJM216" s="28"/>
      <c r="AJN216" s="28"/>
      <c r="AJO216" s="28"/>
      <c r="AJP216" s="28"/>
      <c r="AJQ216" s="28"/>
      <c r="AJR216" s="28"/>
      <c r="AJS216" s="28"/>
      <c r="AJT216" s="28"/>
      <c r="AJU216" s="28"/>
      <c r="AJV216" s="28"/>
      <c r="AJW216" s="28"/>
      <c r="AJX216" s="28"/>
      <c r="AJY216" s="28"/>
      <c r="AJZ216" s="28"/>
      <c r="AKA216" s="28"/>
      <c r="AKB216" s="28"/>
      <c r="AKC216" s="28"/>
      <c r="AKD216" s="28"/>
      <c r="AKE216" s="28"/>
      <c r="AKF216" s="28"/>
      <c r="AKG216" s="28"/>
      <c r="AKH216" s="28"/>
      <c r="AKI216" s="28"/>
      <c r="AKJ216" s="28"/>
      <c r="AKK216" s="28"/>
      <c r="AKL216" s="28"/>
      <c r="AKM216" s="28"/>
      <c r="AKN216" s="28"/>
      <c r="AKO216" s="28"/>
      <c r="AKP216" s="28"/>
      <c r="AKQ216" s="28"/>
      <c r="AKR216" s="28"/>
      <c r="AKS216" s="28"/>
      <c r="AKT216" s="28"/>
      <c r="AKU216" s="28"/>
      <c r="AKV216" s="28"/>
      <c r="AKW216" s="28"/>
      <c r="AKX216" s="28"/>
      <c r="AKY216" s="28"/>
      <c r="AKZ216" s="28"/>
      <c r="ALA216" s="28"/>
      <c r="ALB216" s="28"/>
      <c r="ALC216" s="28"/>
      <c r="ALD216" s="28"/>
      <c r="ALE216" s="28"/>
      <c r="ALF216" s="28"/>
      <c r="ALG216" s="28"/>
      <c r="ALH216" s="28"/>
      <c r="ALI216" s="28"/>
      <c r="ALJ216" s="28"/>
      <c r="ALK216" s="28"/>
      <c r="ALL216" s="28"/>
      <c r="ALM216" s="28"/>
      <c r="ALN216" s="28"/>
      <c r="ALO216" s="28"/>
      <c r="ALP216" s="28"/>
      <c r="ALQ216" s="28"/>
      <c r="ALR216" s="28"/>
      <c r="ALS216" s="28"/>
      <c r="ALT216" s="28"/>
      <c r="ALU216" s="28"/>
      <c r="ALV216" s="28"/>
      <c r="ALW216" s="28"/>
      <c r="ALX216" s="28"/>
      <c r="ALY216" s="28"/>
      <c r="ALZ216" s="28"/>
      <c r="AMA216" s="28"/>
      <c r="AMB216" s="28"/>
      <c r="AMC216" s="28"/>
      <c r="AMD216" s="28"/>
      <c r="AME216" s="28"/>
      <c r="AMF216" s="28"/>
      <c r="AMG216" s="28"/>
      <c r="AMH216" s="28"/>
      <c r="AMI216" s="28"/>
      <c r="AMJ216" s="28"/>
      <c r="AMK216" s="28"/>
      <c r="AML216" s="28"/>
      <c r="AMM216" s="28"/>
      <c r="AMN216" s="28"/>
      <c r="AMO216" s="28"/>
      <c r="AMP216" s="28"/>
      <c r="AMQ216" s="28"/>
      <c r="AMR216" s="28"/>
      <c r="AMS216" s="28"/>
      <c r="AMT216" s="28"/>
      <c r="AMU216" s="28"/>
      <c r="AMV216" s="28"/>
      <c r="AMW216" s="28"/>
      <c r="AMX216" s="28"/>
      <c r="AMY216" s="28"/>
      <c r="AMZ216" s="28"/>
      <c r="ANA216" s="28"/>
      <c r="ANB216" s="28"/>
      <c r="ANC216" s="28"/>
      <c r="AND216" s="28"/>
      <c r="ANE216" s="28"/>
      <c r="ANF216" s="28"/>
      <c r="ANG216" s="28"/>
      <c r="ANH216" s="28"/>
      <c r="ANI216" s="28"/>
      <c r="ANJ216" s="28"/>
      <c r="ANK216" s="28"/>
      <c r="ANL216" s="28"/>
      <c r="ANM216" s="28"/>
      <c r="ANN216" s="28"/>
      <c r="ANO216" s="28"/>
      <c r="ANP216" s="28"/>
      <c r="ANQ216" s="28"/>
      <c r="ANR216" s="28"/>
      <c r="ANS216" s="28"/>
      <c r="ANT216" s="28"/>
      <c r="ANU216" s="28"/>
      <c r="ANV216" s="28"/>
      <c r="ANW216" s="28"/>
      <c r="ANX216" s="28"/>
      <c r="ANY216" s="28"/>
      <c r="ANZ216" s="28"/>
      <c r="AOA216" s="28"/>
      <c r="AOB216" s="28"/>
      <c r="AOC216" s="28"/>
      <c r="AOD216" s="28"/>
      <c r="AOE216" s="28"/>
      <c r="AOF216" s="28"/>
      <c r="AOG216" s="28"/>
      <c r="AOH216" s="28"/>
      <c r="AOI216" s="28"/>
      <c r="AOJ216" s="28"/>
      <c r="AOK216" s="28"/>
      <c r="AOL216" s="28"/>
      <c r="AOM216" s="28"/>
      <c r="AON216" s="28"/>
      <c r="AOO216" s="28"/>
      <c r="AOP216" s="28"/>
      <c r="AOQ216" s="28"/>
      <c r="AOR216" s="28"/>
      <c r="AOS216" s="28"/>
      <c r="AOT216" s="28"/>
      <c r="AOU216" s="28"/>
      <c r="AOV216" s="28"/>
      <c r="AOW216" s="28"/>
      <c r="AOX216" s="28"/>
      <c r="AOY216" s="28"/>
      <c r="AOZ216" s="28"/>
      <c r="APA216" s="28"/>
      <c r="APB216" s="28"/>
      <c r="APC216" s="28"/>
      <c r="APD216" s="28"/>
      <c r="APE216" s="28"/>
      <c r="APF216" s="28"/>
      <c r="APG216" s="28"/>
      <c r="APH216" s="28"/>
      <c r="API216" s="28"/>
      <c r="APJ216" s="28"/>
      <c r="APK216" s="28"/>
      <c r="APL216" s="28"/>
      <c r="APM216" s="28"/>
      <c r="APN216" s="28"/>
      <c r="APO216" s="28"/>
      <c r="APP216" s="28"/>
      <c r="APQ216" s="28"/>
      <c r="APR216" s="28"/>
      <c r="APS216" s="28"/>
      <c r="APT216" s="28"/>
      <c r="APU216" s="28"/>
      <c r="APV216" s="28"/>
      <c r="APW216" s="28"/>
      <c r="APX216" s="28"/>
      <c r="APY216" s="28"/>
      <c r="APZ216" s="28"/>
      <c r="AQA216" s="28"/>
      <c r="AQB216" s="28"/>
      <c r="AQC216" s="28"/>
      <c r="AQD216" s="28"/>
      <c r="AQE216" s="28"/>
      <c r="AQF216" s="28"/>
      <c r="AQG216" s="28"/>
      <c r="AQH216" s="28"/>
      <c r="AQI216" s="28"/>
      <c r="AQJ216" s="28"/>
      <c r="AQK216" s="28"/>
      <c r="AQL216" s="28"/>
      <c r="AQM216" s="28"/>
      <c r="AQN216" s="28"/>
      <c r="AQO216" s="28"/>
      <c r="AQP216" s="28"/>
      <c r="AQQ216" s="28"/>
      <c r="AQR216" s="28"/>
      <c r="AQS216" s="28"/>
      <c r="AQT216" s="28"/>
      <c r="AQU216" s="28"/>
      <c r="AQV216" s="28"/>
      <c r="AQW216" s="28"/>
      <c r="AQX216" s="28"/>
      <c r="AQY216" s="28"/>
      <c r="AQZ216" s="28"/>
      <c r="ARA216" s="28"/>
      <c r="ARB216" s="28"/>
      <c r="ARC216" s="28"/>
      <c r="ARD216" s="28"/>
      <c r="ARE216" s="28"/>
      <c r="ARF216" s="28"/>
      <c r="ARG216" s="28"/>
      <c r="ARH216" s="28"/>
      <c r="ARI216" s="28"/>
      <c r="ARJ216" s="28"/>
      <c r="ARK216" s="28"/>
      <c r="ARL216" s="28"/>
      <c r="ARM216" s="28"/>
      <c r="ARN216" s="28"/>
      <c r="ARO216" s="28"/>
      <c r="ARP216" s="28"/>
      <c r="ARQ216" s="28"/>
      <c r="ARR216" s="28"/>
      <c r="ARS216" s="28"/>
      <c r="ART216" s="28"/>
      <c r="ARU216" s="28"/>
      <c r="ARV216" s="28"/>
      <c r="ARW216" s="28"/>
      <c r="ARX216" s="28"/>
      <c r="ARY216" s="28"/>
      <c r="ARZ216" s="28"/>
      <c r="ASA216" s="28"/>
      <c r="ASB216" s="28"/>
      <c r="ASC216" s="28"/>
      <c r="ASD216" s="28"/>
      <c r="ASE216" s="28"/>
      <c r="ASF216" s="28"/>
      <c r="ASG216" s="28"/>
      <c r="ASH216" s="28"/>
      <c r="ASI216" s="28"/>
      <c r="ASJ216" s="28"/>
      <c r="ASK216" s="28"/>
      <c r="ASL216" s="28"/>
      <c r="ASM216" s="28"/>
      <c r="ASN216" s="28"/>
      <c r="ASO216" s="28"/>
      <c r="ASP216" s="28"/>
      <c r="ASQ216" s="28"/>
      <c r="ASR216" s="28"/>
      <c r="ASS216" s="28"/>
      <c r="AST216" s="28"/>
      <c r="ASU216" s="28"/>
      <c r="ASV216" s="28"/>
      <c r="ASW216" s="28"/>
      <c r="ASX216" s="28"/>
      <c r="ASY216" s="28"/>
      <c r="ASZ216" s="28"/>
      <c r="ATA216" s="28"/>
      <c r="ATB216" s="28"/>
      <c r="ATC216" s="28"/>
      <c r="ATD216" s="28"/>
      <c r="ATE216" s="28"/>
      <c r="ATF216" s="28"/>
      <c r="ATG216" s="28"/>
      <c r="ATH216" s="28"/>
      <c r="ATI216" s="28"/>
      <c r="ATJ216" s="28"/>
      <c r="ATK216" s="28"/>
      <c r="ATL216" s="28"/>
      <c r="ATM216" s="28"/>
      <c r="ATN216" s="28"/>
      <c r="ATO216" s="28"/>
      <c r="ATP216" s="28"/>
      <c r="ATQ216" s="28"/>
      <c r="ATR216" s="28"/>
      <c r="ATS216" s="28"/>
      <c r="ATT216" s="28"/>
      <c r="ATU216" s="28"/>
      <c r="ATV216" s="28"/>
      <c r="ATW216" s="28"/>
      <c r="ATX216" s="28"/>
      <c r="ATY216" s="28"/>
      <c r="ATZ216" s="28"/>
      <c r="AUA216" s="28"/>
      <c r="AUB216" s="28"/>
      <c r="AUC216" s="28"/>
      <c r="AUD216" s="28"/>
      <c r="AUE216" s="28"/>
      <c r="AUF216" s="28"/>
      <c r="AUG216" s="28"/>
      <c r="AUH216" s="28"/>
      <c r="AUI216" s="28"/>
      <c r="AUJ216" s="28"/>
      <c r="AUK216" s="28"/>
      <c r="AUL216" s="28"/>
      <c r="AUM216" s="28"/>
      <c r="AUN216" s="28"/>
      <c r="AUO216" s="28"/>
      <c r="AUP216" s="28"/>
      <c r="AUQ216" s="28"/>
      <c r="AUR216" s="28"/>
      <c r="AUS216" s="28"/>
      <c r="AUT216" s="28"/>
      <c r="AUU216" s="28"/>
      <c r="AUV216" s="28"/>
      <c r="AUW216" s="28"/>
      <c r="AUX216" s="28"/>
      <c r="AUY216" s="28"/>
      <c r="AUZ216" s="28"/>
      <c r="AVA216" s="28"/>
      <c r="AVB216" s="28"/>
      <c r="AVC216" s="28"/>
      <c r="AVD216" s="28"/>
      <c r="AVE216" s="28"/>
      <c r="AVF216" s="28"/>
      <c r="AVG216" s="28"/>
      <c r="AVH216" s="28"/>
      <c r="AVI216" s="28"/>
      <c r="AVJ216" s="28"/>
      <c r="AVK216" s="28"/>
      <c r="AVL216" s="28"/>
      <c r="AVM216" s="28"/>
      <c r="AVN216" s="28"/>
      <c r="AVO216" s="28"/>
      <c r="AVP216" s="28"/>
      <c r="AVQ216" s="28"/>
      <c r="AVR216" s="28"/>
      <c r="AVS216" s="28"/>
      <c r="AVT216" s="28"/>
      <c r="AVU216" s="28"/>
      <c r="AVV216" s="28"/>
      <c r="AVW216" s="28"/>
      <c r="AVX216" s="28"/>
      <c r="AVY216" s="28"/>
      <c r="AVZ216" s="28"/>
      <c r="AWA216" s="28"/>
      <c r="AWB216" s="28"/>
      <c r="AWC216" s="28"/>
      <c r="AWD216" s="28"/>
      <c r="AWE216" s="28"/>
      <c r="AWF216" s="28"/>
      <c r="AWG216" s="28"/>
      <c r="AWH216" s="28"/>
      <c r="AWI216" s="28"/>
      <c r="AWJ216" s="28"/>
      <c r="AWK216" s="28"/>
      <c r="AWL216" s="28"/>
      <c r="AWM216" s="28"/>
      <c r="AWN216" s="28"/>
      <c r="AWO216" s="28"/>
      <c r="AWP216" s="28"/>
      <c r="AWQ216" s="28"/>
      <c r="AWR216" s="28"/>
      <c r="AWS216" s="28"/>
      <c r="AWT216" s="28"/>
      <c r="AWU216" s="28"/>
      <c r="AWV216" s="28"/>
      <c r="AWW216" s="28"/>
      <c r="AWX216" s="28"/>
      <c r="AWY216" s="28"/>
      <c r="AWZ216" s="28"/>
      <c r="AXA216" s="28"/>
      <c r="AXB216" s="28"/>
      <c r="AXC216" s="28"/>
      <c r="AXD216" s="28"/>
      <c r="AXE216" s="28"/>
      <c r="AXF216" s="28"/>
      <c r="AXG216" s="28"/>
      <c r="AXH216" s="28"/>
      <c r="AXI216" s="28"/>
      <c r="AXJ216" s="28"/>
      <c r="AXK216" s="28"/>
      <c r="AXL216" s="28"/>
      <c r="AXM216" s="28"/>
      <c r="AXN216" s="28"/>
      <c r="AXO216" s="28"/>
      <c r="AXP216" s="28"/>
      <c r="AXQ216" s="28"/>
      <c r="AXR216" s="28"/>
      <c r="AXS216" s="28"/>
      <c r="AXT216" s="28"/>
      <c r="AXU216" s="28"/>
      <c r="AXV216" s="28"/>
      <c r="AXW216" s="28"/>
      <c r="AXX216" s="28"/>
      <c r="AXY216" s="28"/>
      <c r="AXZ216" s="28"/>
      <c r="AYA216" s="28"/>
      <c r="AYB216" s="28"/>
      <c r="AYC216" s="28"/>
      <c r="AYD216" s="28"/>
      <c r="AYE216" s="28"/>
      <c r="AYF216" s="28"/>
      <c r="AYG216" s="28"/>
      <c r="AYH216" s="28"/>
      <c r="AYI216" s="28"/>
      <c r="AYJ216" s="28"/>
      <c r="AYK216" s="28"/>
      <c r="AYL216" s="28"/>
      <c r="AYM216" s="28"/>
      <c r="AYN216" s="28"/>
      <c r="AYO216" s="28"/>
      <c r="AYP216" s="28"/>
      <c r="AYQ216" s="28"/>
      <c r="AYR216" s="28"/>
      <c r="AYS216" s="28"/>
      <c r="AYT216" s="28"/>
      <c r="AYU216" s="28"/>
      <c r="AYV216" s="28"/>
      <c r="AYW216" s="28"/>
      <c r="AYX216" s="28"/>
      <c r="AYY216" s="28"/>
      <c r="AYZ216" s="28"/>
      <c r="AZA216" s="28"/>
      <c r="AZB216" s="28"/>
      <c r="AZC216" s="28"/>
      <c r="AZD216" s="28"/>
      <c r="AZE216" s="28"/>
      <c r="AZF216" s="28"/>
      <c r="AZG216" s="28"/>
      <c r="AZH216" s="28"/>
      <c r="AZI216" s="28"/>
      <c r="AZJ216" s="28"/>
      <c r="AZK216" s="28"/>
      <c r="AZL216" s="28"/>
      <c r="AZM216" s="28"/>
      <c r="AZN216" s="28"/>
      <c r="AZO216" s="28"/>
      <c r="AZP216" s="28"/>
      <c r="AZQ216" s="28"/>
      <c r="AZR216" s="28"/>
      <c r="AZS216" s="28"/>
      <c r="AZT216" s="28"/>
      <c r="AZU216" s="28"/>
      <c r="AZV216" s="28"/>
      <c r="AZW216" s="28"/>
      <c r="AZX216" s="28"/>
      <c r="AZY216" s="28"/>
      <c r="AZZ216" s="28"/>
      <c r="BAA216" s="28"/>
      <c r="BAB216" s="28"/>
      <c r="BAC216" s="28"/>
      <c r="BAD216" s="28"/>
      <c r="BAE216" s="28"/>
      <c r="BAF216" s="28"/>
      <c r="BAG216" s="28"/>
      <c r="BAH216" s="28"/>
      <c r="BAI216" s="28"/>
      <c r="BAJ216" s="28"/>
      <c r="BAK216" s="28"/>
      <c r="BAL216" s="28"/>
      <c r="BAM216" s="28"/>
      <c r="BAN216" s="28"/>
      <c r="BAO216" s="28"/>
      <c r="BAP216" s="28"/>
      <c r="BAQ216" s="28"/>
      <c r="BAR216" s="28"/>
      <c r="BAS216" s="28"/>
      <c r="BAT216" s="28"/>
      <c r="BAU216" s="28"/>
      <c r="BAV216" s="28"/>
      <c r="BAW216" s="28"/>
      <c r="BAX216" s="28"/>
      <c r="BAY216" s="28"/>
      <c r="BAZ216" s="28"/>
      <c r="BBA216" s="28"/>
      <c r="BBB216" s="28"/>
      <c r="BBC216" s="28"/>
      <c r="BBD216" s="28"/>
      <c r="BBE216" s="28"/>
      <c r="BBF216" s="28"/>
      <c r="BBG216" s="28"/>
      <c r="BBH216" s="28"/>
      <c r="BBI216" s="28"/>
      <c r="BBJ216" s="28"/>
      <c r="BBK216" s="28"/>
      <c r="BBL216" s="28"/>
      <c r="BBM216" s="28"/>
      <c r="BBN216" s="28"/>
      <c r="BBO216" s="28"/>
      <c r="BBP216" s="28"/>
      <c r="BBQ216" s="28"/>
      <c r="BBR216" s="28"/>
      <c r="BBS216" s="28"/>
      <c r="BBT216" s="28"/>
      <c r="BBU216" s="28"/>
      <c r="BBV216" s="28"/>
      <c r="BBW216" s="28"/>
      <c r="BBX216" s="28"/>
      <c r="BBY216" s="28"/>
      <c r="BBZ216" s="28"/>
      <c r="BCA216" s="28"/>
      <c r="BCB216" s="28"/>
      <c r="BCC216" s="28"/>
      <c r="BCD216" s="28"/>
      <c r="BCE216" s="28"/>
      <c r="BCF216" s="28"/>
      <c r="BCG216" s="28"/>
      <c r="BCH216" s="28"/>
      <c r="BCI216" s="28"/>
      <c r="BCJ216" s="28"/>
      <c r="BCK216" s="28"/>
      <c r="BCL216" s="28"/>
      <c r="BCM216" s="28"/>
      <c r="BCN216" s="28"/>
      <c r="BCO216" s="28"/>
      <c r="BCP216" s="28"/>
      <c r="BCQ216" s="28"/>
      <c r="BCR216" s="28"/>
      <c r="BCS216" s="28"/>
      <c r="BCT216" s="28"/>
      <c r="BCU216" s="28"/>
      <c r="BCV216" s="28"/>
      <c r="BCW216" s="28"/>
      <c r="BCX216" s="28"/>
      <c r="BCY216" s="28"/>
      <c r="BCZ216" s="28"/>
      <c r="BDA216" s="28"/>
      <c r="BDB216" s="28"/>
      <c r="BDC216" s="28"/>
      <c r="BDD216" s="28"/>
      <c r="BDE216" s="28"/>
      <c r="BDF216" s="28"/>
      <c r="BDG216" s="28"/>
      <c r="BDH216" s="28"/>
      <c r="BDI216" s="28"/>
      <c r="BDJ216" s="28"/>
      <c r="BDK216" s="28"/>
      <c r="BDL216" s="28"/>
      <c r="BDM216" s="28"/>
      <c r="BDN216" s="28"/>
      <c r="BDO216" s="28"/>
      <c r="BDP216" s="28"/>
      <c r="BDQ216" s="28"/>
      <c r="BDR216" s="28"/>
      <c r="BDS216" s="28"/>
      <c r="BDT216" s="28"/>
      <c r="BDU216" s="28"/>
      <c r="BDV216" s="28"/>
      <c r="BDW216" s="28"/>
      <c r="BDX216" s="28"/>
      <c r="BDY216" s="28"/>
      <c r="BDZ216" s="28"/>
      <c r="BEA216" s="28"/>
      <c r="BEB216" s="28"/>
      <c r="BEC216" s="28"/>
      <c r="BED216" s="28"/>
      <c r="BEE216" s="28"/>
      <c r="BEF216" s="28"/>
      <c r="BEG216" s="28"/>
      <c r="BEH216" s="28"/>
      <c r="BEI216" s="28"/>
      <c r="BEJ216" s="28"/>
      <c r="BEK216" s="28"/>
      <c r="BEL216" s="28"/>
      <c r="BEM216" s="28"/>
      <c r="BEN216" s="28"/>
      <c r="BEO216" s="28"/>
      <c r="BEP216" s="28"/>
      <c r="BEQ216" s="28"/>
      <c r="BER216" s="28"/>
      <c r="BES216" s="28"/>
      <c r="BET216" s="28"/>
      <c r="BEU216" s="28"/>
      <c r="BEV216" s="28"/>
      <c r="BEW216" s="28"/>
      <c r="BEX216" s="28"/>
      <c r="BEY216" s="28"/>
      <c r="BEZ216" s="28"/>
      <c r="BFA216" s="28"/>
      <c r="BFB216" s="28"/>
      <c r="BFC216" s="28"/>
      <c r="BFD216" s="28"/>
      <c r="BFE216" s="28"/>
      <c r="BFF216" s="28"/>
      <c r="BFG216" s="28"/>
      <c r="BFH216" s="28"/>
      <c r="BFI216" s="28"/>
      <c r="BFJ216" s="28"/>
      <c r="BFK216" s="28"/>
      <c r="BFL216" s="28"/>
      <c r="BFM216" s="28"/>
      <c r="BFN216" s="28"/>
      <c r="BFO216" s="28"/>
      <c r="BFP216" s="28"/>
      <c r="BFQ216" s="28"/>
      <c r="BFR216" s="28"/>
      <c r="BFS216" s="28"/>
      <c r="BFT216" s="28"/>
      <c r="BFU216" s="28"/>
      <c r="BFV216" s="28"/>
      <c r="BFW216" s="28"/>
      <c r="BFX216" s="28"/>
      <c r="BFY216" s="28"/>
      <c r="BFZ216" s="28"/>
      <c r="BGA216" s="28"/>
      <c r="BGB216" s="28"/>
      <c r="BGC216" s="28"/>
      <c r="BGD216" s="28"/>
      <c r="BGE216" s="28"/>
      <c r="BGF216" s="28"/>
      <c r="BGG216" s="28"/>
      <c r="BGH216" s="28"/>
      <c r="BGI216" s="28"/>
      <c r="BGJ216" s="28"/>
      <c r="BGK216" s="28"/>
      <c r="BGL216" s="28"/>
      <c r="BGM216" s="28"/>
      <c r="BGN216" s="28"/>
      <c r="BGO216" s="28"/>
      <c r="BGP216" s="28"/>
      <c r="BGQ216" s="28"/>
      <c r="BGR216" s="28"/>
      <c r="BGS216" s="28"/>
      <c r="BGT216" s="28"/>
      <c r="BGU216" s="28"/>
      <c r="BGV216" s="28"/>
      <c r="BGW216" s="28"/>
      <c r="BGX216" s="28"/>
      <c r="BGY216" s="28"/>
      <c r="BGZ216" s="28"/>
      <c r="BHA216" s="28"/>
      <c r="BHB216" s="28"/>
      <c r="BHC216" s="28"/>
      <c r="BHD216" s="28"/>
      <c r="BHE216" s="28"/>
      <c r="BHF216" s="28"/>
      <c r="BHG216" s="28"/>
      <c r="BHH216" s="28"/>
      <c r="BHI216" s="28"/>
      <c r="BHJ216" s="28"/>
      <c r="BHK216" s="28"/>
      <c r="BHL216" s="28"/>
      <c r="BHM216" s="28"/>
      <c r="BHN216" s="28"/>
      <c r="BHO216" s="28"/>
      <c r="BHP216" s="28"/>
      <c r="BHQ216" s="28"/>
      <c r="BHR216" s="28"/>
      <c r="BHS216" s="28"/>
      <c r="BHT216" s="28"/>
      <c r="BHU216" s="28"/>
      <c r="BHV216" s="28"/>
      <c r="BHW216" s="28"/>
      <c r="BHX216" s="28"/>
      <c r="BHY216" s="28"/>
      <c r="BHZ216" s="28"/>
      <c r="BIA216" s="28"/>
      <c r="BIB216" s="28"/>
      <c r="BIC216" s="28"/>
      <c r="BID216" s="28"/>
      <c r="BIE216" s="28"/>
      <c r="BIF216" s="28"/>
      <c r="BIG216" s="28"/>
      <c r="BIH216" s="28"/>
      <c r="BII216" s="28"/>
      <c r="BIJ216" s="28"/>
      <c r="BIK216" s="28"/>
      <c r="BIL216" s="28"/>
      <c r="BIM216" s="28"/>
      <c r="BIN216" s="28"/>
      <c r="BIO216" s="28"/>
      <c r="BIP216" s="28"/>
      <c r="BIQ216" s="28"/>
      <c r="BIR216" s="28"/>
      <c r="BIS216" s="28"/>
      <c r="BIT216" s="28"/>
      <c r="BIU216" s="28"/>
      <c r="BIV216" s="28"/>
      <c r="BIW216" s="28"/>
      <c r="BIX216" s="28"/>
      <c r="BIY216" s="28"/>
      <c r="BIZ216" s="28"/>
      <c r="BJA216" s="28"/>
      <c r="BJB216" s="28"/>
      <c r="BJC216" s="28"/>
      <c r="BJD216" s="28"/>
      <c r="BJE216" s="28"/>
      <c r="BJF216" s="28"/>
      <c r="BJG216" s="28"/>
      <c r="BJH216" s="28"/>
      <c r="BJI216" s="28"/>
      <c r="BJJ216" s="28"/>
      <c r="BJK216" s="28"/>
      <c r="BJL216" s="28"/>
      <c r="BJM216" s="28"/>
      <c r="BJN216" s="28"/>
      <c r="BJO216" s="28"/>
      <c r="BJP216" s="28"/>
      <c r="BJQ216" s="28"/>
      <c r="BJR216" s="28"/>
      <c r="BJS216" s="28"/>
      <c r="BJT216" s="28"/>
      <c r="BJU216" s="28"/>
      <c r="BJV216" s="28"/>
      <c r="BJW216" s="28"/>
      <c r="BJX216" s="28"/>
      <c r="BJY216" s="28"/>
      <c r="BJZ216" s="28"/>
      <c r="BKA216" s="28"/>
      <c r="BKB216" s="28"/>
      <c r="BKC216" s="28"/>
      <c r="BKD216" s="28"/>
      <c r="BKE216" s="28"/>
      <c r="BKF216" s="28"/>
      <c r="BKG216" s="28"/>
      <c r="BKH216" s="28"/>
      <c r="BKI216" s="28"/>
      <c r="BKJ216" s="28"/>
      <c r="BKK216" s="28"/>
      <c r="BKL216" s="28"/>
      <c r="BKM216" s="28"/>
      <c r="BKN216" s="28"/>
      <c r="BKO216" s="28"/>
      <c r="BKP216" s="28"/>
      <c r="BKQ216" s="28"/>
      <c r="BKR216" s="28"/>
      <c r="BKS216" s="28"/>
      <c r="BKT216" s="28"/>
      <c r="BKU216" s="28"/>
      <c r="BKV216" s="28"/>
      <c r="BKW216" s="28"/>
      <c r="BKX216" s="28"/>
      <c r="BKY216" s="28"/>
      <c r="BKZ216" s="28"/>
      <c r="BLA216" s="28"/>
      <c r="BLB216" s="28"/>
      <c r="BLC216" s="28"/>
      <c r="BLD216" s="28"/>
      <c r="BLE216" s="28"/>
      <c r="BLF216" s="28"/>
      <c r="BLG216" s="28"/>
      <c r="BLH216" s="28"/>
      <c r="BLI216" s="28"/>
      <c r="BLJ216" s="28"/>
      <c r="BLK216" s="28"/>
      <c r="BLL216" s="28"/>
      <c r="BLM216" s="28"/>
      <c r="BLN216" s="28"/>
      <c r="BLO216" s="28"/>
      <c r="BLP216" s="28"/>
      <c r="BLQ216" s="28"/>
      <c r="BLR216" s="28"/>
      <c r="BLS216" s="28"/>
      <c r="BLT216" s="28"/>
      <c r="BLU216" s="28"/>
      <c r="BLV216" s="28"/>
      <c r="BLW216" s="28"/>
      <c r="BLX216" s="28"/>
      <c r="BLY216" s="28"/>
      <c r="BLZ216" s="28"/>
      <c r="BMA216" s="28"/>
      <c r="BMB216" s="28"/>
      <c r="BMC216" s="28"/>
      <c r="BMD216" s="28"/>
      <c r="BME216" s="28"/>
      <c r="BMF216" s="28"/>
      <c r="BMG216" s="28"/>
      <c r="BMH216" s="28"/>
      <c r="BMI216" s="28"/>
      <c r="BMJ216" s="28"/>
      <c r="BMK216" s="28"/>
      <c r="BML216" s="28"/>
      <c r="BMM216" s="28"/>
      <c r="BMN216" s="28"/>
      <c r="BMO216" s="28"/>
      <c r="BMP216" s="28"/>
      <c r="BMQ216" s="28"/>
      <c r="BMR216" s="28"/>
      <c r="BMS216" s="28"/>
      <c r="BMT216" s="28"/>
      <c r="BMU216" s="28"/>
      <c r="BMV216" s="28"/>
      <c r="BMW216" s="28"/>
      <c r="BMX216" s="28"/>
      <c r="BMY216" s="28"/>
      <c r="BMZ216" s="28"/>
      <c r="BNA216" s="28"/>
      <c r="BNB216" s="28"/>
      <c r="BNC216" s="28"/>
      <c r="BND216" s="28"/>
      <c r="BNE216" s="28"/>
      <c r="BNF216" s="28"/>
      <c r="BNG216" s="28"/>
      <c r="BNH216" s="28"/>
      <c r="BNI216" s="28"/>
      <c r="BNJ216" s="28"/>
      <c r="BNK216" s="28"/>
      <c r="BNL216" s="28"/>
      <c r="BNM216" s="28"/>
      <c r="BNN216" s="28"/>
      <c r="BNO216" s="28"/>
      <c r="BNP216" s="28"/>
      <c r="BNQ216" s="28"/>
      <c r="BNR216" s="28"/>
      <c r="BNS216" s="28"/>
      <c r="BNT216" s="28"/>
      <c r="BNU216" s="28"/>
      <c r="BNV216" s="28"/>
      <c r="BNW216" s="28"/>
      <c r="BNX216" s="28"/>
      <c r="BNY216" s="28"/>
      <c r="BNZ216" s="28"/>
      <c r="BOA216" s="28"/>
      <c r="BOB216" s="28"/>
      <c r="BOC216" s="28"/>
      <c r="BOD216" s="28"/>
      <c r="BOE216" s="28"/>
      <c r="BOF216" s="28"/>
      <c r="BOG216" s="28"/>
      <c r="BOH216" s="28"/>
      <c r="BOI216" s="28"/>
      <c r="BOJ216" s="28"/>
      <c r="BOK216" s="28"/>
      <c r="BOL216" s="28"/>
      <c r="BOM216" s="28"/>
      <c r="BON216" s="28"/>
      <c r="BOO216" s="28"/>
      <c r="BOP216" s="28"/>
      <c r="BOQ216" s="28"/>
      <c r="BOR216" s="28"/>
      <c r="BOS216" s="28"/>
      <c r="BOT216" s="28"/>
      <c r="BOU216" s="28"/>
      <c r="BOV216" s="28"/>
      <c r="BOW216" s="28"/>
      <c r="BOX216" s="28"/>
      <c r="BOY216" s="28"/>
      <c r="BOZ216" s="28"/>
      <c r="BPA216" s="28"/>
      <c r="BPB216" s="28"/>
      <c r="BPC216" s="28"/>
      <c r="BPD216" s="28"/>
      <c r="BPE216" s="28"/>
      <c r="BPF216" s="28"/>
      <c r="BPG216" s="28"/>
      <c r="BPH216" s="28"/>
      <c r="BPI216" s="28"/>
      <c r="BPJ216" s="28"/>
      <c r="BPK216" s="28"/>
      <c r="BPL216" s="28"/>
      <c r="BPM216" s="28"/>
      <c r="BPN216" s="28"/>
      <c r="BPO216" s="28"/>
      <c r="BPP216" s="28"/>
      <c r="BPQ216" s="28"/>
      <c r="BPR216" s="28"/>
      <c r="BPS216" s="28"/>
      <c r="BPT216" s="28"/>
      <c r="BPU216" s="28"/>
      <c r="BPV216" s="28"/>
      <c r="BPW216" s="28"/>
      <c r="BPX216" s="28"/>
      <c r="BPY216" s="28"/>
      <c r="BPZ216" s="28"/>
      <c r="BQA216" s="28"/>
      <c r="BQB216" s="28"/>
      <c r="BQC216" s="28"/>
      <c r="BQD216" s="28"/>
      <c r="BQE216" s="28"/>
      <c r="BQF216" s="28"/>
      <c r="BQG216" s="28"/>
      <c r="BQH216" s="28"/>
      <c r="BQI216" s="28"/>
      <c r="BQJ216" s="28"/>
      <c r="BQK216" s="28"/>
      <c r="BQL216" s="28"/>
      <c r="BQM216" s="28"/>
      <c r="BQN216" s="28"/>
      <c r="BQO216" s="28"/>
      <c r="BQP216" s="28"/>
      <c r="BQQ216" s="28"/>
      <c r="BQR216" s="28"/>
      <c r="BQS216" s="28"/>
      <c r="BQT216" s="28"/>
      <c r="BQU216" s="28"/>
      <c r="BQV216" s="28"/>
      <c r="BQW216" s="28"/>
      <c r="BQX216" s="28"/>
      <c r="BQY216" s="28"/>
      <c r="BQZ216" s="28"/>
      <c r="BRA216" s="28"/>
      <c r="BRB216" s="28"/>
      <c r="BRC216" s="28"/>
      <c r="BRD216" s="28"/>
      <c r="BRE216" s="28"/>
      <c r="BRF216" s="28"/>
      <c r="BRG216" s="28"/>
      <c r="BRH216" s="28"/>
      <c r="BRI216" s="28"/>
      <c r="BRJ216" s="28"/>
      <c r="BRK216" s="28"/>
      <c r="BRL216" s="28"/>
      <c r="BRM216" s="28"/>
      <c r="BRN216" s="28"/>
      <c r="BRO216" s="28"/>
      <c r="BRP216" s="28"/>
      <c r="BRQ216" s="28"/>
      <c r="BRR216" s="28"/>
      <c r="BRS216" s="28"/>
      <c r="BRT216" s="28"/>
      <c r="BRU216" s="28"/>
      <c r="BRV216" s="28"/>
      <c r="BRW216" s="28"/>
      <c r="BRX216" s="28"/>
      <c r="BRY216" s="28"/>
      <c r="BRZ216" s="28"/>
      <c r="BSA216" s="28"/>
      <c r="BSB216" s="28"/>
      <c r="BSC216" s="28"/>
      <c r="BSD216" s="28"/>
      <c r="BSE216" s="28"/>
      <c r="BSF216" s="28"/>
      <c r="BSG216" s="28"/>
      <c r="BSH216" s="28"/>
      <c r="BSI216" s="28"/>
      <c r="BSJ216" s="28"/>
      <c r="BSK216" s="28"/>
      <c r="BSL216" s="28"/>
      <c r="BSM216" s="28"/>
      <c r="BSN216" s="28"/>
      <c r="BSO216" s="28"/>
      <c r="BSP216" s="28"/>
      <c r="BSQ216" s="28"/>
      <c r="BSR216" s="28"/>
      <c r="BSS216" s="28"/>
      <c r="BST216" s="28"/>
      <c r="BSU216" s="28"/>
      <c r="BSV216" s="28"/>
      <c r="BSW216" s="28"/>
      <c r="BSX216" s="28"/>
      <c r="BSY216" s="28"/>
      <c r="BSZ216" s="28"/>
      <c r="BTA216" s="28"/>
      <c r="BTB216" s="28"/>
      <c r="BTC216" s="28"/>
      <c r="BTD216" s="28"/>
      <c r="BTE216" s="28"/>
      <c r="BTF216" s="28"/>
      <c r="BTG216" s="28"/>
      <c r="BTH216" s="28"/>
      <c r="BTI216" s="28"/>
      <c r="BTJ216" s="28"/>
      <c r="BTK216" s="28"/>
      <c r="BTL216" s="28"/>
      <c r="BTM216" s="28"/>
      <c r="BTN216" s="28"/>
      <c r="BTO216" s="28"/>
      <c r="BTP216" s="28"/>
      <c r="BTQ216" s="28"/>
      <c r="BTR216" s="28"/>
      <c r="BTS216" s="28"/>
      <c r="BTT216" s="28"/>
      <c r="BTU216" s="28"/>
      <c r="BTV216" s="28"/>
      <c r="BTW216" s="28"/>
      <c r="BTX216" s="28"/>
      <c r="BTY216" s="28"/>
      <c r="BTZ216" s="28"/>
      <c r="BUA216" s="28"/>
      <c r="BUB216" s="28"/>
      <c r="BUC216" s="28"/>
      <c r="BUD216" s="28"/>
      <c r="BUE216" s="28"/>
      <c r="BUF216" s="28"/>
      <c r="BUG216" s="28"/>
      <c r="BUH216" s="28"/>
      <c r="BUI216" s="28"/>
      <c r="BUJ216" s="28"/>
      <c r="BUK216" s="28"/>
      <c r="BUL216" s="28"/>
      <c r="BUM216" s="28"/>
      <c r="BUN216" s="28"/>
      <c r="BUO216" s="28"/>
      <c r="BUP216" s="28"/>
      <c r="BUQ216" s="28"/>
      <c r="BUR216" s="28"/>
      <c r="BUS216" s="28"/>
      <c r="BUT216" s="28"/>
      <c r="BUU216" s="28"/>
      <c r="BUV216" s="28"/>
      <c r="BUW216" s="28"/>
      <c r="BUX216" s="28"/>
      <c r="BUY216" s="28"/>
      <c r="BUZ216" s="28"/>
      <c r="BVA216" s="28"/>
      <c r="BVB216" s="28"/>
      <c r="BVC216" s="28"/>
      <c r="BVD216" s="28"/>
      <c r="BVE216" s="28"/>
      <c r="BVF216" s="28"/>
      <c r="BVG216" s="28"/>
      <c r="BVH216" s="28"/>
      <c r="BVI216" s="28"/>
      <c r="BVJ216" s="28"/>
      <c r="BVK216" s="28"/>
      <c r="BVL216" s="28"/>
      <c r="BVM216" s="28"/>
      <c r="BVN216" s="28"/>
      <c r="BVO216" s="28"/>
      <c r="BVP216" s="28"/>
      <c r="BVQ216" s="28"/>
      <c r="BVR216" s="28"/>
      <c r="BVS216" s="28"/>
      <c r="BVT216" s="28"/>
      <c r="BVU216" s="28"/>
      <c r="BVV216" s="28"/>
      <c r="BVW216" s="28"/>
      <c r="BVX216" s="28"/>
      <c r="BVY216" s="28"/>
      <c r="BVZ216" s="28"/>
      <c r="BWA216" s="28"/>
      <c r="BWB216" s="28"/>
      <c r="BWC216" s="28"/>
      <c r="BWD216" s="28"/>
      <c r="BWE216" s="28"/>
      <c r="BWF216" s="28"/>
      <c r="BWG216" s="28"/>
      <c r="BWH216" s="28"/>
      <c r="BWI216" s="28"/>
      <c r="BWJ216" s="28"/>
      <c r="BWK216" s="28"/>
      <c r="BWL216" s="28"/>
      <c r="BWM216" s="28"/>
      <c r="BWN216" s="28"/>
      <c r="BWO216" s="28"/>
      <c r="BWP216" s="28"/>
      <c r="BWQ216" s="28"/>
      <c r="BWR216" s="28"/>
      <c r="BWS216" s="28"/>
      <c r="BWT216" s="28"/>
      <c r="BWU216" s="28"/>
      <c r="BWV216" s="28"/>
      <c r="BWW216" s="28"/>
      <c r="BWX216" s="28"/>
      <c r="BWY216" s="28"/>
      <c r="BWZ216" s="28"/>
      <c r="BXA216" s="28"/>
      <c r="BXB216" s="28"/>
      <c r="BXC216" s="28"/>
      <c r="BXD216" s="28"/>
      <c r="BXE216" s="28"/>
      <c r="BXF216" s="28"/>
      <c r="BXG216" s="28"/>
      <c r="BXH216" s="28"/>
      <c r="BXI216" s="28"/>
      <c r="BXJ216" s="28"/>
      <c r="BXK216" s="28"/>
      <c r="BXL216" s="28"/>
      <c r="BXM216" s="28"/>
      <c r="BXN216" s="28"/>
      <c r="BXO216" s="28"/>
      <c r="BXP216" s="28"/>
      <c r="BXQ216" s="28"/>
      <c r="BXR216" s="28"/>
      <c r="BXS216" s="28"/>
      <c r="BXT216" s="28"/>
      <c r="BXU216" s="28"/>
      <c r="BXV216" s="28"/>
      <c r="BXW216" s="28"/>
      <c r="BXX216" s="28"/>
      <c r="BXY216" s="28"/>
      <c r="BXZ216" s="28"/>
      <c r="BYA216" s="28"/>
      <c r="BYB216" s="28"/>
      <c r="BYC216" s="28"/>
      <c r="BYD216" s="28"/>
      <c r="BYE216" s="28"/>
      <c r="BYF216" s="28"/>
      <c r="BYG216" s="28"/>
      <c r="BYH216" s="28"/>
      <c r="BYI216" s="28"/>
      <c r="BYJ216" s="28"/>
      <c r="BYK216" s="28"/>
      <c r="BYL216" s="28"/>
      <c r="BYM216" s="28"/>
      <c r="BYN216" s="28"/>
      <c r="BYO216" s="28"/>
      <c r="BYP216" s="28"/>
      <c r="BYQ216" s="28"/>
      <c r="BYR216" s="28"/>
      <c r="BYS216" s="28"/>
      <c r="BYT216" s="28"/>
      <c r="BYU216" s="28"/>
      <c r="BYV216" s="28"/>
      <c r="BYW216" s="28"/>
      <c r="BYX216" s="28"/>
      <c r="BYY216" s="28"/>
      <c r="BYZ216" s="28"/>
      <c r="BZA216" s="28"/>
      <c r="BZB216" s="28"/>
      <c r="BZC216" s="28"/>
      <c r="BZD216" s="28"/>
      <c r="BZE216" s="28"/>
      <c r="BZF216" s="28"/>
      <c r="BZG216" s="28"/>
      <c r="BZH216" s="28"/>
      <c r="BZI216" s="28"/>
      <c r="BZJ216" s="28"/>
      <c r="BZK216" s="28"/>
      <c r="BZL216" s="28"/>
      <c r="BZM216" s="28"/>
      <c r="BZN216" s="28"/>
      <c r="BZO216" s="28"/>
      <c r="BZP216" s="28"/>
      <c r="BZQ216" s="28"/>
      <c r="BZR216" s="28"/>
      <c r="BZS216" s="28"/>
      <c r="BZT216" s="28"/>
      <c r="BZU216" s="28"/>
      <c r="BZV216" s="28"/>
      <c r="BZW216" s="28"/>
      <c r="BZX216" s="28"/>
      <c r="BZY216" s="28"/>
      <c r="BZZ216" s="28"/>
      <c r="CAA216" s="28"/>
      <c r="CAB216" s="28"/>
      <c r="CAC216" s="28"/>
      <c r="CAD216" s="28"/>
      <c r="CAE216" s="28"/>
      <c r="CAF216" s="28"/>
      <c r="CAG216" s="28"/>
      <c r="CAH216" s="28"/>
      <c r="CAI216" s="28"/>
      <c r="CAJ216" s="28"/>
      <c r="CAK216" s="28"/>
      <c r="CAL216" s="28"/>
      <c r="CAM216" s="28"/>
      <c r="CAN216" s="28"/>
      <c r="CAO216" s="28"/>
      <c r="CAP216" s="28"/>
      <c r="CAQ216" s="28"/>
      <c r="CAR216" s="28"/>
      <c r="CAS216" s="28"/>
      <c r="CAT216" s="28"/>
      <c r="CAU216" s="28"/>
      <c r="CAV216" s="28"/>
      <c r="CAW216" s="28"/>
      <c r="CAX216" s="28"/>
      <c r="CAY216" s="28"/>
      <c r="CAZ216" s="28"/>
      <c r="CBA216" s="28"/>
      <c r="CBB216" s="28"/>
      <c r="CBC216" s="28"/>
      <c r="CBD216" s="28"/>
      <c r="CBE216" s="28"/>
      <c r="CBF216" s="28"/>
      <c r="CBG216" s="28"/>
      <c r="CBH216" s="28"/>
      <c r="CBI216" s="28"/>
      <c r="CBJ216" s="28"/>
      <c r="CBK216" s="28"/>
      <c r="CBL216" s="28"/>
      <c r="CBM216" s="28"/>
      <c r="CBN216" s="28"/>
      <c r="CBO216" s="28"/>
      <c r="CBP216" s="28"/>
      <c r="CBQ216" s="28"/>
      <c r="CBR216" s="28"/>
      <c r="CBS216" s="28"/>
      <c r="CBT216" s="28"/>
      <c r="CBU216" s="28"/>
      <c r="CBV216" s="28"/>
      <c r="CBW216" s="28"/>
      <c r="CBX216" s="28"/>
      <c r="CBY216" s="28"/>
      <c r="CBZ216" s="28"/>
      <c r="CCA216" s="28"/>
      <c r="CCB216" s="28"/>
      <c r="CCC216" s="28"/>
      <c r="CCD216" s="28"/>
      <c r="CCE216" s="28"/>
      <c r="CCF216" s="28"/>
      <c r="CCG216" s="28"/>
      <c r="CCH216" s="28"/>
      <c r="CCI216" s="28"/>
      <c r="CCJ216" s="28"/>
      <c r="CCK216" s="28"/>
      <c r="CCL216" s="28"/>
      <c r="CCM216" s="28"/>
      <c r="CCN216" s="28"/>
      <c r="CCO216" s="28"/>
      <c r="CCP216" s="28"/>
      <c r="CCQ216" s="28"/>
      <c r="CCR216" s="28"/>
      <c r="CCS216" s="28"/>
      <c r="CCT216" s="28"/>
      <c r="CCU216" s="28"/>
      <c r="CCV216" s="28"/>
      <c r="CCW216" s="28"/>
      <c r="CCX216" s="28"/>
      <c r="CCY216" s="28"/>
      <c r="CCZ216" s="28"/>
      <c r="CDA216" s="28"/>
      <c r="CDB216" s="28"/>
      <c r="CDC216" s="28"/>
      <c r="CDD216" s="28"/>
      <c r="CDE216" s="28"/>
      <c r="CDF216" s="28"/>
      <c r="CDG216" s="28"/>
      <c r="CDH216" s="28"/>
      <c r="CDI216" s="28"/>
      <c r="CDJ216" s="28"/>
      <c r="CDK216" s="28"/>
      <c r="CDL216" s="28"/>
      <c r="CDM216" s="28"/>
      <c r="CDN216" s="28"/>
      <c r="CDO216" s="28"/>
      <c r="CDP216" s="28"/>
      <c r="CDQ216" s="28"/>
      <c r="CDR216" s="28"/>
      <c r="CDS216" s="28"/>
      <c r="CDT216" s="28"/>
      <c r="CDU216" s="28"/>
      <c r="CDV216" s="28"/>
      <c r="CDW216" s="28"/>
      <c r="CDX216" s="28"/>
      <c r="CDY216" s="28"/>
      <c r="CDZ216" s="28"/>
      <c r="CEA216" s="28"/>
      <c r="CEB216" s="28"/>
      <c r="CEC216" s="28"/>
      <c r="CED216" s="28"/>
      <c r="CEE216" s="28"/>
      <c r="CEF216" s="28"/>
      <c r="CEG216" s="28"/>
      <c r="CEH216" s="28"/>
      <c r="CEI216" s="28"/>
      <c r="CEJ216" s="28"/>
      <c r="CEK216" s="28"/>
      <c r="CEL216" s="28"/>
      <c r="CEM216" s="28"/>
      <c r="CEN216" s="28"/>
      <c r="CEO216" s="28"/>
      <c r="CEP216" s="28"/>
      <c r="CEQ216" s="28"/>
      <c r="CER216" s="28"/>
      <c r="CES216" s="28"/>
      <c r="CET216" s="28"/>
      <c r="CEU216" s="28"/>
      <c r="CEV216" s="28"/>
      <c r="CEW216" s="28"/>
      <c r="CEX216" s="28"/>
      <c r="CEY216" s="28"/>
      <c r="CEZ216" s="28"/>
      <c r="CFA216" s="28"/>
      <c r="CFB216" s="28"/>
      <c r="CFC216" s="28"/>
      <c r="CFD216" s="28"/>
      <c r="CFE216" s="28"/>
      <c r="CFF216" s="28"/>
      <c r="CFG216" s="28"/>
      <c r="CFH216" s="28"/>
      <c r="CFI216" s="28"/>
      <c r="CFJ216" s="28"/>
      <c r="CFK216" s="28"/>
      <c r="CFL216" s="28"/>
      <c r="CFM216" s="28"/>
      <c r="CFN216" s="28"/>
      <c r="CFO216" s="28"/>
      <c r="CFP216" s="28"/>
      <c r="CFQ216" s="28"/>
      <c r="CFR216" s="28"/>
      <c r="CFS216" s="28"/>
      <c r="CFT216" s="28"/>
      <c r="CFU216" s="28"/>
      <c r="CFV216" s="28"/>
      <c r="CFW216" s="28"/>
      <c r="CFX216" s="28"/>
      <c r="CFY216" s="28"/>
      <c r="CFZ216" s="28"/>
      <c r="CGA216" s="28"/>
      <c r="CGB216" s="28"/>
      <c r="CGC216" s="28"/>
      <c r="CGD216" s="28"/>
      <c r="CGE216" s="28"/>
      <c r="CGF216" s="28"/>
      <c r="CGG216" s="28"/>
      <c r="CGH216" s="28"/>
      <c r="CGI216" s="28"/>
      <c r="CGJ216" s="28"/>
      <c r="CGK216" s="28"/>
      <c r="CGL216" s="28"/>
      <c r="CGM216" s="28"/>
      <c r="CGN216" s="28"/>
      <c r="CGO216" s="28"/>
      <c r="CGP216" s="28"/>
      <c r="CGQ216" s="28"/>
      <c r="CGR216" s="28"/>
      <c r="CGS216" s="28"/>
      <c r="CGT216" s="28"/>
      <c r="CGU216" s="28"/>
      <c r="CGV216" s="28"/>
      <c r="CGW216" s="28"/>
      <c r="CGX216" s="28"/>
      <c r="CGY216" s="28"/>
      <c r="CGZ216" s="28"/>
      <c r="CHA216" s="28"/>
      <c r="CHB216" s="28"/>
      <c r="CHC216" s="28"/>
      <c r="CHD216" s="28"/>
      <c r="CHE216" s="28"/>
      <c r="CHF216" s="28"/>
      <c r="CHG216" s="28"/>
      <c r="CHH216" s="28"/>
      <c r="CHI216" s="28"/>
      <c r="CHJ216" s="28"/>
      <c r="CHK216" s="28"/>
      <c r="CHL216" s="28"/>
      <c r="CHM216" s="28"/>
      <c r="CHN216" s="28"/>
      <c r="CHO216" s="28"/>
      <c r="CHP216" s="28"/>
      <c r="CHQ216" s="28"/>
      <c r="CHR216" s="28"/>
      <c r="CHS216" s="28"/>
      <c r="CHT216" s="28"/>
      <c r="CHU216" s="28"/>
      <c r="CHV216" s="28"/>
      <c r="CHW216" s="28"/>
      <c r="CHX216" s="28"/>
      <c r="CHY216" s="28"/>
      <c r="CHZ216" s="28"/>
      <c r="CIA216" s="28"/>
      <c r="CIB216" s="28"/>
      <c r="CIC216" s="28"/>
      <c r="CID216" s="28"/>
      <c r="CIE216" s="28"/>
      <c r="CIF216" s="28"/>
      <c r="CIG216" s="28"/>
      <c r="CIH216" s="28"/>
      <c r="CII216" s="28"/>
      <c r="CIJ216" s="28"/>
      <c r="CIK216" s="28"/>
      <c r="CIL216" s="28"/>
      <c r="CIM216" s="28"/>
      <c r="CIN216" s="28"/>
      <c r="CIO216" s="28"/>
      <c r="CIP216" s="28"/>
      <c r="CIQ216" s="28"/>
      <c r="CIR216" s="28"/>
      <c r="CIS216" s="28"/>
      <c r="CIT216" s="28"/>
      <c r="CIU216" s="28"/>
      <c r="CIV216" s="28"/>
      <c r="CIW216" s="28"/>
      <c r="CIX216" s="28"/>
      <c r="CIY216" s="28"/>
      <c r="CIZ216" s="28"/>
      <c r="CJA216" s="28"/>
      <c r="CJB216" s="28"/>
      <c r="CJC216" s="28"/>
      <c r="CJD216" s="28"/>
      <c r="CJE216" s="28"/>
      <c r="CJF216" s="28"/>
      <c r="CJG216" s="28"/>
      <c r="CJH216" s="28"/>
      <c r="CJI216" s="28"/>
      <c r="CJJ216" s="28"/>
      <c r="CJK216" s="28"/>
      <c r="CJL216" s="28"/>
      <c r="CJM216" s="28"/>
      <c r="CJN216" s="28"/>
      <c r="CJO216" s="28"/>
      <c r="CJP216" s="28"/>
      <c r="CJQ216" s="28"/>
      <c r="CJR216" s="28"/>
      <c r="CJS216" s="28"/>
      <c r="CJT216" s="28"/>
      <c r="CJU216" s="28"/>
      <c r="CJV216" s="28"/>
      <c r="CJW216" s="28"/>
      <c r="CJX216" s="28"/>
      <c r="CJY216" s="28"/>
      <c r="CJZ216" s="28"/>
      <c r="CKA216" s="28"/>
      <c r="CKB216" s="28"/>
      <c r="CKC216" s="28"/>
      <c r="CKD216" s="28"/>
      <c r="CKE216" s="28"/>
      <c r="CKF216" s="28"/>
      <c r="CKG216" s="28"/>
      <c r="CKH216" s="28"/>
      <c r="CKI216" s="28"/>
      <c r="CKJ216" s="28"/>
      <c r="CKK216" s="28"/>
      <c r="CKL216" s="28"/>
      <c r="CKM216" s="28"/>
      <c r="CKN216" s="28"/>
      <c r="CKO216" s="28"/>
      <c r="CKP216" s="28"/>
      <c r="CKQ216" s="28"/>
      <c r="CKR216" s="28"/>
      <c r="CKS216" s="28"/>
      <c r="CKT216" s="28"/>
      <c r="CKU216" s="28"/>
      <c r="CKV216" s="28"/>
      <c r="CKW216" s="28"/>
      <c r="CKX216" s="28"/>
      <c r="CKY216" s="28"/>
      <c r="CKZ216" s="28"/>
      <c r="CLA216" s="28"/>
      <c r="CLB216" s="28"/>
      <c r="CLC216" s="28"/>
      <c r="CLD216" s="28"/>
      <c r="CLE216" s="28"/>
      <c r="CLF216" s="28"/>
      <c r="CLG216" s="28"/>
      <c r="CLH216" s="28"/>
      <c r="CLI216" s="28"/>
      <c r="CLJ216" s="28"/>
      <c r="CLK216" s="28"/>
      <c r="CLL216" s="28"/>
      <c r="CLM216" s="28"/>
      <c r="CLN216" s="28"/>
      <c r="CLO216" s="28"/>
      <c r="CLP216" s="28"/>
      <c r="CLQ216" s="28"/>
      <c r="CLR216" s="28"/>
      <c r="CLS216" s="28"/>
      <c r="CLT216" s="28"/>
      <c r="CLU216" s="28"/>
      <c r="CLV216" s="28"/>
      <c r="CLW216" s="28"/>
      <c r="CLX216" s="28"/>
      <c r="CLY216" s="28"/>
      <c r="CLZ216" s="28"/>
      <c r="CMA216" s="28"/>
      <c r="CMB216" s="28"/>
      <c r="CMC216" s="28"/>
      <c r="CMD216" s="28"/>
      <c r="CME216" s="28"/>
      <c r="CMF216" s="28"/>
      <c r="CMG216" s="28"/>
      <c r="CMH216" s="28"/>
      <c r="CMI216" s="28"/>
      <c r="CMJ216" s="28"/>
      <c r="CMK216" s="28"/>
      <c r="CML216" s="28"/>
      <c r="CMM216" s="28"/>
      <c r="CMN216" s="28"/>
      <c r="CMO216" s="28"/>
      <c r="CMP216" s="28"/>
      <c r="CMQ216" s="28"/>
      <c r="CMR216" s="28"/>
      <c r="CMS216" s="28"/>
      <c r="CMT216" s="28"/>
      <c r="CMU216" s="28"/>
      <c r="CMV216" s="28"/>
      <c r="CMW216" s="28"/>
      <c r="CMX216" s="28"/>
      <c r="CMY216" s="28"/>
      <c r="CMZ216" s="28"/>
      <c r="CNA216" s="28"/>
      <c r="CNB216" s="28"/>
      <c r="CNC216" s="28"/>
      <c r="CND216" s="28"/>
      <c r="CNE216" s="28"/>
      <c r="CNF216" s="28"/>
      <c r="CNG216" s="28"/>
      <c r="CNH216" s="28"/>
      <c r="CNI216" s="28"/>
      <c r="CNJ216" s="28"/>
      <c r="CNK216" s="28"/>
      <c r="CNL216" s="28"/>
      <c r="CNM216" s="28"/>
      <c r="CNN216" s="28"/>
      <c r="CNO216" s="28"/>
      <c r="CNP216" s="28"/>
      <c r="CNQ216" s="28"/>
      <c r="CNR216" s="28"/>
      <c r="CNS216" s="28"/>
      <c r="CNT216" s="28"/>
      <c r="CNU216" s="28"/>
      <c r="CNV216" s="28"/>
      <c r="CNW216" s="28"/>
      <c r="CNX216" s="28"/>
      <c r="CNY216" s="28"/>
      <c r="CNZ216" s="28"/>
      <c r="COA216" s="28"/>
      <c r="COB216" s="28"/>
      <c r="COC216" s="28"/>
      <c r="COD216" s="28"/>
      <c r="COE216" s="28"/>
      <c r="COF216" s="28"/>
      <c r="COG216" s="28"/>
      <c r="COH216" s="28"/>
      <c r="COI216" s="28"/>
      <c r="COJ216" s="28"/>
      <c r="COK216" s="28"/>
      <c r="COL216" s="28"/>
      <c r="COM216" s="28"/>
      <c r="CON216" s="28"/>
      <c r="COO216" s="28"/>
      <c r="COP216" s="28"/>
      <c r="COQ216" s="28"/>
      <c r="COR216" s="28"/>
      <c r="COS216" s="28"/>
      <c r="COT216" s="28"/>
      <c r="COU216" s="28"/>
      <c r="COV216" s="28"/>
      <c r="COW216" s="28"/>
      <c r="COX216" s="28"/>
      <c r="COY216" s="28"/>
      <c r="COZ216" s="28"/>
      <c r="CPA216" s="28"/>
      <c r="CPB216" s="28"/>
      <c r="CPC216" s="28"/>
      <c r="CPD216" s="28"/>
      <c r="CPE216" s="28"/>
      <c r="CPF216" s="28"/>
      <c r="CPG216" s="28"/>
      <c r="CPH216" s="28"/>
      <c r="CPI216" s="28"/>
      <c r="CPJ216" s="28"/>
      <c r="CPK216" s="28"/>
      <c r="CPL216" s="28"/>
      <c r="CPM216" s="28"/>
      <c r="CPN216" s="28"/>
      <c r="CPO216" s="28"/>
      <c r="CPP216" s="28"/>
      <c r="CPQ216" s="28"/>
      <c r="CPR216" s="28"/>
      <c r="CPS216" s="28"/>
      <c r="CPT216" s="28"/>
      <c r="CPU216" s="28"/>
      <c r="CPV216" s="28"/>
      <c r="CPW216" s="28"/>
      <c r="CPX216" s="28"/>
      <c r="CPY216" s="28"/>
      <c r="CPZ216" s="28"/>
      <c r="CQA216" s="28"/>
      <c r="CQB216" s="28"/>
      <c r="CQC216" s="28"/>
      <c r="CQD216" s="28"/>
      <c r="CQE216" s="28"/>
      <c r="CQF216" s="28"/>
      <c r="CQG216" s="28"/>
      <c r="CQH216" s="28"/>
      <c r="CQI216" s="28"/>
      <c r="CQJ216" s="28"/>
      <c r="CQK216" s="28"/>
      <c r="CQL216" s="28"/>
      <c r="CQM216" s="28"/>
      <c r="CQN216" s="28"/>
      <c r="CQO216" s="28"/>
      <c r="CQP216" s="28"/>
      <c r="CQQ216" s="28"/>
      <c r="CQR216" s="28"/>
      <c r="CQS216" s="28"/>
      <c r="CQT216" s="28"/>
      <c r="CQU216" s="28"/>
      <c r="CQV216" s="28"/>
      <c r="CQW216" s="28"/>
      <c r="CQX216" s="28"/>
      <c r="CQY216" s="28"/>
      <c r="CQZ216" s="28"/>
      <c r="CRA216" s="28"/>
      <c r="CRB216" s="28"/>
      <c r="CRC216" s="28"/>
      <c r="CRD216" s="28"/>
      <c r="CRE216" s="28"/>
      <c r="CRF216" s="28"/>
      <c r="CRG216" s="28"/>
      <c r="CRH216" s="28"/>
      <c r="CRI216" s="28"/>
      <c r="CRJ216" s="28"/>
      <c r="CRK216" s="28"/>
      <c r="CRL216" s="28"/>
      <c r="CRM216" s="28"/>
      <c r="CRN216" s="28"/>
      <c r="CRO216" s="28"/>
      <c r="CRP216" s="28"/>
      <c r="CRQ216" s="28"/>
      <c r="CRR216" s="28"/>
      <c r="CRS216" s="28"/>
      <c r="CRT216" s="28"/>
      <c r="CRU216" s="28"/>
      <c r="CRV216" s="28"/>
      <c r="CRW216" s="28"/>
      <c r="CRX216" s="28"/>
      <c r="CRY216" s="28"/>
      <c r="CRZ216" s="28"/>
      <c r="CSA216" s="28"/>
      <c r="CSB216" s="28"/>
      <c r="CSC216" s="28"/>
      <c r="CSD216" s="28"/>
      <c r="CSE216" s="28"/>
      <c r="CSF216" s="28"/>
      <c r="CSG216" s="28"/>
      <c r="CSH216" s="28"/>
      <c r="CSI216" s="28"/>
      <c r="CSJ216" s="28"/>
      <c r="CSK216" s="28"/>
      <c r="CSL216" s="28"/>
      <c r="CSM216" s="28"/>
      <c r="CSN216" s="28"/>
      <c r="CSO216" s="28"/>
      <c r="CSP216" s="28"/>
      <c r="CSQ216" s="28"/>
      <c r="CSR216" s="28"/>
      <c r="CSS216" s="28"/>
      <c r="CST216" s="28"/>
      <c r="CSU216" s="28"/>
      <c r="CSV216" s="28"/>
      <c r="CSW216" s="28"/>
      <c r="CSX216" s="28"/>
      <c r="CSY216" s="28"/>
      <c r="CSZ216" s="28"/>
      <c r="CTA216" s="28"/>
      <c r="CTB216" s="28"/>
      <c r="CTC216" s="28"/>
      <c r="CTD216" s="28"/>
      <c r="CTE216" s="28"/>
      <c r="CTF216" s="28"/>
      <c r="CTG216" s="28"/>
      <c r="CTH216" s="28"/>
      <c r="CTI216" s="28"/>
      <c r="CTJ216" s="28"/>
      <c r="CTK216" s="28"/>
      <c r="CTL216" s="28"/>
      <c r="CTM216" s="28"/>
      <c r="CTN216" s="28"/>
      <c r="CTO216" s="28"/>
      <c r="CTP216" s="28"/>
      <c r="CTQ216" s="28"/>
      <c r="CTR216" s="28"/>
      <c r="CTS216" s="28"/>
      <c r="CTT216" s="28"/>
      <c r="CTU216" s="28"/>
      <c r="CTV216" s="28"/>
      <c r="CTW216" s="28"/>
      <c r="CTX216" s="28"/>
      <c r="CTY216" s="28"/>
      <c r="CTZ216" s="28"/>
      <c r="CUA216" s="28"/>
      <c r="CUB216" s="28"/>
      <c r="CUC216" s="28"/>
      <c r="CUD216" s="28"/>
      <c r="CUE216" s="28"/>
      <c r="CUF216" s="28"/>
      <c r="CUG216" s="28"/>
      <c r="CUH216" s="28"/>
      <c r="CUI216" s="28"/>
      <c r="CUJ216" s="28"/>
      <c r="CUK216" s="28"/>
      <c r="CUL216" s="28"/>
      <c r="CUM216" s="28"/>
      <c r="CUN216" s="28"/>
      <c r="CUO216" s="28"/>
      <c r="CUP216" s="28"/>
      <c r="CUQ216" s="28"/>
      <c r="CUR216" s="28"/>
      <c r="CUS216" s="28"/>
      <c r="CUT216" s="28"/>
      <c r="CUU216" s="28"/>
      <c r="CUV216" s="28"/>
      <c r="CUW216" s="28"/>
      <c r="CUX216" s="28"/>
      <c r="CUY216" s="28"/>
      <c r="CUZ216" s="28"/>
      <c r="CVA216" s="28"/>
      <c r="CVB216" s="28"/>
      <c r="CVC216" s="28"/>
      <c r="CVD216" s="28"/>
      <c r="CVE216" s="28"/>
      <c r="CVF216" s="28"/>
      <c r="CVG216" s="28"/>
      <c r="CVH216" s="28"/>
      <c r="CVI216" s="28"/>
      <c r="CVJ216" s="28"/>
      <c r="CVK216" s="28"/>
      <c r="CVL216" s="28"/>
      <c r="CVM216" s="28"/>
      <c r="CVN216" s="28"/>
      <c r="CVO216" s="28"/>
      <c r="CVP216" s="28"/>
      <c r="CVQ216" s="28"/>
      <c r="CVR216" s="28"/>
      <c r="CVS216" s="28"/>
      <c r="CVT216" s="28"/>
      <c r="CVU216" s="28"/>
      <c r="CVV216" s="28"/>
      <c r="CVW216" s="28"/>
      <c r="CVX216" s="28"/>
      <c r="CVY216" s="28"/>
      <c r="CVZ216" s="28"/>
      <c r="CWA216" s="28"/>
      <c r="CWB216" s="28"/>
      <c r="CWC216" s="28"/>
      <c r="CWD216" s="28"/>
      <c r="CWE216" s="28"/>
      <c r="CWF216" s="28"/>
      <c r="CWG216" s="28"/>
      <c r="CWH216" s="28"/>
      <c r="CWI216" s="28"/>
      <c r="CWJ216" s="28"/>
      <c r="CWK216" s="28"/>
      <c r="CWL216" s="28"/>
      <c r="CWM216" s="28"/>
      <c r="CWN216" s="28"/>
      <c r="CWO216" s="28"/>
      <c r="CWP216" s="28"/>
      <c r="CWQ216" s="28"/>
      <c r="CWR216" s="28"/>
      <c r="CWS216" s="28"/>
      <c r="CWT216" s="28"/>
      <c r="CWU216" s="28"/>
      <c r="CWV216" s="28"/>
      <c r="CWW216" s="28"/>
      <c r="CWX216" s="28"/>
      <c r="CWY216" s="28"/>
      <c r="CWZ216" s="28"/>
      <c r="CXA216" s="28"/>
      <c r="CXB216" s="28"/>
      <c r="CXC216" s="28"/>
      <c r="CXD216" s="28"/>
      <c r="CXE216" s="28"/>
      <c r="CXF216" s="28"/>
      <c r="CXG216" s="28"/>
      <c r="CXH216" s="28"/>
      <c r="CXI216" s="28"/>
      <c r="CXJ216" s="28"/>
      <c r="CXK216" s="28"/>
      <c r="CXL216" s="28"/>
      <c r="CXM216" s="28"/>
      <c r="CXN216" s="28"/>
      <c r="CXO216" s="28"/>
      <c r="CXP216" s="28"/>
      <c r="CXQ216" s="28"/>
      <c r="CXR216" s="28"/>
      <c r="CXS216" s="28"/>
      <c r="CXT216" s="28"/>
      <c r="CXU216" s="28"/>
      <c r="CXV216" s="28"/>
      <c r="CXW216" s="28"/>
      <c r="CXX216" s="28"/>
      <c r="CXY216" s="28"/>
      <c r="CXZ216" s="28"/>
      <c r="CYA216" s="28"/>
      <c r="CYB216" s="28"/>
      <c r="CYC216" s="28"/>
      <c r="CYD216" s="28"/>
      <c r="CYE216" s="28"/>
      <c r="CYF216" s="28"/>
      <c r="CYG216" s="28"/>
      <c r="CYH216" s="28"/>
      <c r="CYI216" s="28"/>
      <c r="CYJ216" s="28"/>
      <c r="CYK216" s="28"/>
      <c r="CYL216" s="28"/>
      <c r="CYM216" s="28"/>
      <c r="CYN216" s="28"/>
      <c r="CYO216" s="28"/>
      <c r="CYP216" s="28"/>
      <c r="CYQ216" s="28"/>
      <c r="CYR216" s="28"/>
      <c r="CYS216" s="28"/>
      <c r="CYT216" s="28"/>
      <c r="CYU216" s="28"/>
      <c r="CYV216" s="28"/>
      <c r="CYW216" s="28"/>
      <c r="CYX216" s="28"/>
      <c r="CYY216" s="28"/>
      <c r="CYZ216" s="28"/>
      <c r="CZA216" s="28"/>
      <c r="CZB216" s="28"/>
      <c r="CZC216" s="28"/>
      <c r="CZD216" s="28"/>
      <c r="CZE216" s="28"/>
      <c r="CZF216" s="28"/>
      <c r="CZG216" s="28"/>
      <c r="CZH216" s="28"/>
      <c r="CZI216" s="28"/>
      <c r="CZJ216" s="28"/>
      <c r="CZK216" s="28"/>
      <c r="CZL216" s="28"/>
      <c r="CZM216" s="28"/>
      <c r="CZN216" s="28"/>
      <c r="CZO216" s="28"/>
      <c r="CZP216" s="28"/>
      <c r="CZQ216" s="28"/>
      <c r="CZR216" s="28"/>
      <c r="CZS216" s="28"/>
      <c r="CZT216" s="28"/>
      <c r="CZU216" s="28"/>
      <c r="CZV216" s="28"/>
      <c r="CZW216" s="28"/>
      <c r="CZX216" s="28"/>
      <c r="CZY216" s="28"/>
      <c r="CZZ216" s="28"/>
      <c r="DAA216" s="28"/>
      <c r="DAB216" s="28"/>
      <c r="DAC216" s="28"/>
      <c r="DAD216" s="28"/>
      <c r="DAE216" s="28"/>
      <c r="DAF216" s="28"/>
      <c r="DAG216" s="28"/>
      <c r="DAH216" s="28"/>
      <c r="DAI216" s="28"/>
      <c r="DAJ216" s="28"/>
      <c r="DAK216" s="28"/>
      <c r="DAL216" s="28"/>
      <c r="DAM216" s="28"/>
      <c r="DAN216" s="28"/>
      <c r="DAO216" s="28"/>
      <c r="DAP216" s="28"/>
      <c r="DAQ216" s="28"/>
      <c r="DAR216" s="28"/>
      <c r="DAS216" s="28"/>
      <c r="DAT216" s="28"/>
      <c r="DAU216" s="28"/>
      <c r="DAV216" s="28"/>
      <c r="DAW216" s="28"/>
      <c r="DAX216" s="28"/>
      <c r="DAY216" s="28"/>
      <c r="DAZ216" s="28"/>
      <c r="DBA216" s="28"/>
      <c r="DBB216" s="28"/>
      <c r="DBC216" s="28"/>
      <c r="DBD216" s="28"/>
      <c r="DBE216" s="28"/>
      <c r="DBF216" s="28"/>
      <c r="DBG216" s="28"/>
      <c r="DBH216" s="28"/>
      <c r="DBI216" s="28"/>
      <c r="DBJ216" s="28"/>
      <c r="DBK216" s="28"/>
      <c r="DBL216" s="28"/>
      <c r="DBM216" s="28"/>
      <c r="DBN216" s="28"/>
      <c r="DBO216" s="28"/>
      <c r="DBP216" s="28"/>
      <c r="DBQ216" s="28"/>
      <c r="DBR216" s="28"/>
      <c r="DBS216" s="28"/>
      <c r="DBT216" s="28"/>
      <c r="DBU216" s="28"/>
      <c r="DBV216" s="28"/>
      <c r="DBW216" s="28"/>
      <c r="DBX216" s="28"/>
      <c r="DBY216" s="28"/>
      <c r="DBZ216" s="28"/>
      <c r="DCA216" s="28"/>
      <c r="DCB216" s="28"/>
      <c r="DCC216" s="28"/>
      <c r="DCD216" s="28"/>
      <c r="DCE216" s="28"/>
      <c r="DCF216" s="28"/>
      <c r="DCG216" s="28"/>
      <c r="DCH216" s="28"/>
      <c r="DCI216" s="28"/>
      <c r="DCJ216" s="28"/>
      <c r="DCK216" s="28"/>
      <c r="DCL216" s="28"/>
      <c r="DCM216" s="28"/>
      <c r="DCN216" s="28"/>
      <c r="DCO216" s="28"/>
      <c r="DCP216" s="28"/>
      <c r="DCQ216" s="28"/>
      <c r="DCR216" s="28"/>
      <c r="DCS216" s="28"/>
      <c r="DCT216" s="28"/>
      <c r="DCU216" s="28"/>
      <c r="DCV216" s="28"/>
      <c r="DCW216" s="28"/>
      <c r="DCX216" s="28"/>
      <c r="DCY216" s="28"/>
      <c r="DCZ216" s="28"/>
      <c r="DDA216" s="28"/>
      <c r="DDB216" s="28"/>
      <c r="DDC216" s="28"/>
      <c r="DDD216" s="28"/>
      <c r="DDE216" s="28"/>
      <c r="DDF216" s="28"/>
      <c r="DDG216" s="28"/>
      <c r="DDH216" s="28"/>
      <c r="DDI216" s="28"/>
      <c r="DDJ216" s="28"/>
      <c r="DDK216" s="28"/>
      <c r="DDL216" s="28"/>
      <c r="DDM216" s="28"/>
      <c r="DDN216" s="28"/>
      <c r="DDO216" s="28"/>
      <c r="DDP216" s="28"/>
      <c r="DDQ216" s="28"/>
      <c r="DDR216" s="28"/>
      <c r="DDS216" s="28"/>
      <c r="DDT216" s="28"/>
      <c r="DDU216" s="28"/>
      <c r="DDV216" s="28"/>
      <c r="DDW216" s="28"/>
      <c r="DDX216" s="28"/>
      <c r="DDY216" s="28"/>
      <c r="DDZ216" s="28"/>
      <c r="DEA216" s="28"/>
      <c r="DEB216" s="28"/>
      <c r="DEC216" s="28"/>
      <c r="DED216" s="28"/>
      <c r="DEE216" s="28"/>
      <c r="DEF216" s="28"/>
      <c r="DEG216" s="28"/>
      <c r="DEH216" s="28"/>
      <c r="DEI216" s="28"/>
      <c r="DEJ216" s="28"/>
      <c r="DEK216" s="28"/>
      <c r="DEL216" s="28"/>
      <c r="DEM216" s="28"/>
      <c r="DEN216" s="28"/>
      <c r="DEO216" s="28"/>
      <c r="DEP216" s="28"/>
      <c r="DEQ216" s="28"/>
      <c r="DER216" s="28"/>
      <c r="DES216" s="28"/>
      <c r="DET216" s="28"/>
      <c r="DEU216" s="28"/>
      <c r="DEV216" s="28"/>
      <c r="DEW216" s="28"/>
      <c r="DEX216" s="28"/>
      <c r="DEY216" s="28"/>
      <c r="DEZ216" s="28"/>
      <c r="DFA216" s="28"/>
      <c r="DFB216" s="28"/>
      <c r="DFC216" s="28"/>
      <c r="DFD216" s="28"/>
      <c r="DFE216" s="28"/>
      <c r="DFF216" s="28"/>
      <c r="DFG216" s="28"/>
      <c r="DFH216" s="28"/>
      <c r="DFI216" s="28"/>
      <c r="DFJ216" s="28"/>
      <c r="DFK216" s="28"/>
      <c r="DFL216" s="28"/>
      <c r="DFM216" s="28"/>
      <c r="DFN216" s="28"/>
      <c r="DFO216" s="28"/>
      <c r="DFP216" s="28"/>
      <c r="DFQ216" s="28"/>
      <c r="DFR216" s="28"/>
      <c r="DFS216" s="28"/>
      <c r="DFT216" s="28"/>
      <c r="DFU216" s="28"/>
      <c r="DFV216" s="28"/>
      <c r="DFW216" s="28"/>
      <c r="DFX216" s="28"/>
      <c r="DFY216" s="28"/>
      <c r="DFZ216" s="28"/>
      <c r="DGA216" s="28"/>
      <c r="DGB216" s="28"/>
      <c r="DGC216" s="28"/>
      <c r="DGD216" s="28"/>
      <c r="DGE216" s="28"/>
      <c r="DGF216" s="28"/>
      <c r="DGG216" s="28"/>
      <c r="DGH216" s="28"/>
      <c r="DGI216" s="28"/>
      <c r="DGJ216" s="28"/>
      <c r="DGK216" s="28"/>
      <c r="DGL216" s="28"/>
      <c r="DGM216" s="28"/>
      <c r="DGN216" s="28"/>
      <c r="DGO216" s="28"/>
      <c r="DGP216" s="28"/>
      <c r="DGQ216" s="28"/>
      <c r="DGR216" s="28"/>
      <c r="DGS216" s="28"/>
      <c r="DGT216" s="28"/>
      <c r="DGU216" s="28"/>
      <c r="DGV216" s="28"/>
      <c r="DGW216" s="28"/>
      <c r="DGX216" s="28"/>
      <c r="DGY216" s="28"/>
      <c r="DGZ216" s="28"/>
      <c r="DHA216" s="28"/>
      <c r="DHB216" s="28"/>
      <c r="DHC216" s="28"/>
      <c r="DHD216" s="28"/>
      <c r="DHE216" s="28"/>
      <c r="DHF216" s="28"/>
      <c r="DHG216" s="28"/>
      <c r="DHH216" s="28"/>
      <c r="DHI216" s="28"/>
      <c r="DHJ216" s="28"/>
      <c r="DHK216" s="28"/>
      <c r="DHL216" s="28"/>
      <c r="DHM216" s="28"/>
      <c r="DHN216" s="28"/>
      <c r="DHO216" s="28"/>
      <c r="DHP216" s="28"/>
      <c r="DHQ216" s="28"/>
      <c r="DHR216" s="28"/>
      <c r="DHS216" s="28"/>
      <c r="DHT216" s="28"/>
      <c r="DHU216" s="28"/>
      <c r="DHV216" s="28"/>
      <c r="DHW216" s="28"/>
      <c r="DHX216" s="28"/>
      <c r="DHY216" s="28"/>
      <c r="DHZ216" s="28"/>
      <c r="DIA216" s="28"/>
      <c r="DIB216" s="28"/>
      <c r="DIC216" s="28"/>
      <c r="DID216" s="28"/>
      <c r="DIE216" s="28"/>
      <c r="DIF216" s="28"/>
      <c r="DIG216" s="28"/>
      <c r="DIH216" s="28"/>
      <c r="DII216" s="28"/>
      <c r="DIJ216" s="28"/>
      <c r="DIK216" s="28"/>
      <c r="DIL216" s="28"/>
      <c r="DIM216" s="28"/>
      <c r="DIN216" s="28"/>
      <c r="DIO216" s="28"/>
      <c r="DIP216" s="28"/>
      <c r="DIQ216" s="28"/>
      <c r="DIR216" s="28"/>
      <c r="DIS216" s="28"/>
      <c r="DIT216" s="28"/>
      <c r="DIU216" s="28"/>
      <c r="DIV216" s="28"/>
      <c r="DIW216" s="28"/>
      <c r="DIX216" s="28"/>
      <c r="DIY216" s="28"/>
      <c r="DIZ216" s="28"/>
      <c r="DJA216" s="28"/>
      <c r="DJB216" s="28"/>
      <c r="DJC216" s="28"/>
      <c r="DJD216" s="28"/>
      <c r="DJE216" s="28"/>
      <c r="DJF216" s="28"/>
      <c r="DJG216" s="28"/>
      <c r="DJH216" s="28"/>
      <c r="DJI216" s="28"/>
      <c r="DJJ216" s="28"/>
      <c r="DJK216" s="28"/>
      <c r="DJL216" s="28"/>
      <c r="DJM216" s="28"/>
      <c r="DJN216" s="28"/>
      <c r="DJO216" s="28"/>
      <c r="DJP216" s="28"/>
      <c r="DJQ216" s="28"/>
      <c r="DJR216" s="28"/>
      <c r="DJS216" s="28"/>
      <c r="DJT216" s="28"/>
      <c r="DJU216" s="28"/>
      <c r="DJV216" s="28"/>
      <c r="DJW216" s="28"/>
      <c r="DJX216" s="28"/>
      <c r="DJY216" s="28"/>
      <c r="DJZ216" s="28"/>
      <c r="DKA216" s="28"/>
      <c r="DKB216" s="28"/>
      <c r="DKC216" s="28"/>
      <c r="DKD216" s="28"/>
      <c r="DKE216" s="28"/>
      <c r="DKF216" s="28"/>
      <c r="DKG216" s="28"/>
      <c r="DKH216" s="28"/>
      <c r="DKI216" s="28"/>
      <c r="DKJ216" s="28"/>
      <c r="DKK216" s="28"/>
      <c r="DKL216" s="28"/>
      <c r="DKM216" s="28"/>
      <c r="DKN216" s="28"/>
      <c r="DKO216" s="28"/>
      <c r="DKP216" s="28"/>
      <c r="DKQ216" s="28"/>
      <c r="DKR216" s="28"/>
      <c r="DKS216" s="28"/>
      <c r="DKT216" s="28"/>
      <c r="DKU216" s="28"/>
      <c r="DKV216" s="28"/>
      <c r="DKW216" s="28"/>
      <c r="DKX216" s="28"/>
      <c r="DKY216" s="28"/>
      <c r="DKZ216" s="28"/>
      <c r="DLA216" s="28"/>
      <c r="DLB216" s="28"/>
      <c r="DLC216" s="28"/>
      <c r="DLD216" s="28"/>
      <c r="DLE216" s="28"/>
      <c r="DLF216" s="28"/>
      <c r="DLG216" s="28"/>
      <c r="DLH216" s="28"/>
      <c r="DLI216" s="28"/>
      <c r="DLJ216" s="28"/>
      <c r="DLK216" s="28"/>
      <c r="DLL216" s="28"/>
      <c r="DLM216" s="28"/>
      <c r="DLN216" s="28"/>
      <c r="DLO216" s="28"/>
      <c r="DLP216" s="28"/>
      <c r="DLQ216" s="28"/>
      <c r="DLR216" s="28"/>
      <c r="DLS216" s="28"/>
      <c r="DLT216" s="28"/>
      <c r="DLU216" s="28"/>
      <c r="DLV216" s="28"/>
      <c r="DLW216" s="28"/>
      <c r="DLX216" s="28"/>
      <c r="DLY216" s="28"/>
      <c r="DLZ216" s="28"/>
      <c r="DMA216" s="28"/>
      <c r="DMB216" s="28"/>
      <c r="DMC216" s="28"/>
      <c r="DMD216" s="28"/>
      <c r="DME216" s="28"/>
      <c r="DMF216" s="28"/>
      <c r="DMG216" s="28"/>
      <c r="DMH216" s="28"/>
      <c r="DMI216" s="28"/>
      <c r="DMJ216" s="28"/>
      <c r="DMK216" s="28"/>
      <c r="DML216" s="28"/>
      <c r="DMM216" s="28"/>
      <c r="DMN216" s="28"/>
      <c r="DMO216" s="28"/>
      <c r="DMP216" s="28"/>
      <c r="DMQ216" s="28"/>
      <c r="DMR216" s="28"/>
      <c r="DMS216" s="28"/>
      <c r="DMT216" s="28"/>
      <c r="DMU216" s="28"/>
      <c r="DMV216" s="28"/>
      <c r="DMW216" s="28"/>
      <c r="DMX216" s="28"/>
      <c r="DMY216" s="28"/>
      <c r="DMZ216" s="28"/>
      <c r="DNA216" s="28"/>
      <c r="DNB216" s="28"/>
      <c r="DNC216" s="28"/>
      <c r="DND216" s="28"/>
      <c r="DNE216" s="28"/>
      <c r="DNF216" s="28"/>
      <c r="DNG216" s="28"/>
      <c r="DNH216" s="28"/>
      <c r="DNI216" s="28"/>
      <c r="DNJ216" s="28"/>
      <c r="DNK216" s="28"/>
      <c r="DNL216" s="28"/>
      <c r="DNM216" s="28"/>
      <c r="DNN216" s="28"/>
      <c r="DNO216" s="28"/>
      <c r="DNP216" s="28"/>
      <c r="DNQ216" s="28"/>
      <c r="DNR216" s="28"/>
      <c r="DNS216" s="28"/>
      <c r="DNT216" s="28"/>
      <c r="DNU216" s="28"/>
      <c r="DNV216" s="28"/>
      <c r="DNW216" s="28"/>
      <c r="DNX216" s="28"/>
      <c r="DNY216" s="28"/>
      <c r="DNZ216" s="28"/>
      <c r="DOA216" s="28"/>
      <c r="DOB216" s="28"/>
      <c r="DOC216" s="28"/>
      <c r="DOD216" s="28"/>
      <c r="DOE216" s="28"/>
      <c r="DOF216" s="28"/>
      <c r="DOG216" s="28"/>
      <c r="DOH216" s="28"/>
      <c r="DOI216" s="28"/>
      <c r="DOJ216" s="28"/>
      <c r="DOK216" s="28"/>
      <c r="DOL216" s="28"/>
      <c r="DOM216" s="28"/>
      <c r="DON216" s="28"/>
      <c r="DOO216" s="28"/>
      <c r="DOP216" s="28"/>
      <c r="DOQ216" s="28"/>
      <c r="DOR216" s="28"/>
      <c r="DOS216" s="28"/>
      <c r="DOT216" s="28"/>
      <c r="DOU216" s="28"/>
      <c r="DOV216" s="28"/>
      <c r="DOW216" s="28"/>
      <c r="DOX216" s="28"/>
      <c r="DOY216" s="28"/>
      <c r="DOZ216" s="28"/>
      <c r="DPA216" s="28"/>
      <c r="DPB216" s="28"/>
      <c r="DPC216" s="28"/>
      <c r="DPD216" s="28"/>
      <c r="DPE216" s="28"/>
      <c r="DPF216" s="28"/>
      <c r="DPG216" s="28"/>
      <c r="DPH216" s="28"/>
      <c r="DPI216" s="28"/>
      <c r="DPJ216" s="28"/>
      <c r="DPK216" s="28"/>
      <c r="DPL216" s="28"/>
      <c r="DPM216" s="28"/>
      <c r="DPN216" s="28"/>
      <c r="DPO216" s="28"/>
      <c r="DPP216" s="28"/>
      <c r="DPQ216" s="28"/>
      <c r="DPR216" s="28"/>
      <c r="DPS216" s="28"/>
      <c r="DPT216" s="28"/>
      <c r="DPU216" s="28"/>
      <c r="DPV216" s="28"/>
      <c r="DPW216" s="28"/>
      <c r="DPX216" s="28"/>
      <c r="DPY216" s="28"/>
      <c r="DPZ216" s="28"/>
      <c r="DQA216" s="28"/>
      <c r="DQB216" s="28"/>
      <c r="DQC216" s="28"/>
      <c r="DQD216" s="28"/>
      <c r="DQE216" s="28"/>
      <c r="DQF216" s="28"/>
      <c r="DQG216" s="28"/>
      <c r="DQH216" s="28"/>
      <c r="DQI216" s="28"/>
      <c r="DQJ216" s="28"/>
      <c r="DQK216" s="28"/>
      <c r="DQL216" s="28"/>
      <c r="DQM216" s="28"/>
      <c r="DQN216" s="28"/>
      <c r="DQO216" s="28"/>
      <c r="DQP216" s="28"/>
      <c r="DQQ216" s="28"/>
      <c r="DQR216" s="28"/>
      <c r="DQS216" s="28"/>
      <c r="DQT216" s="28"/>
      <c r="DQU216" s="28"/>
      <c r="DQV216" s="28"/>
      <c r="DQW216" s="28"/>
      <c r="DQX216" s="28"/>
      <c r="DQY216" s="28"/>
      <c r="DQZ216" s="28"/>
      <c r="DRA216" s="28"/>
      <c r="DRB216" s="28"/>
      <c r="DRC216" s="28"/>
      <c r="DRD216" s="28"/>
      <c r="DRE216" s="28"/>
      <c r="DRF216" s="28"/>
      <c r="DRG216" s="28"/>
      <c r="DRH216" s="28"/>
      <c r="DRI216" s="28"/>
      <c r="DRJ216" s="28"/>
      <c r="DRK216" s="28"/>
      <c r="DRL216" s="28"/>
      <c r="DRM216" s="28"/>
      <c r="DRN216" s="28"/>
      <c r="DRO216" s="28"/>
      <c r="DRP216" s="28"/>
      <c r="DRQ216" s="28"/>
      <c r="DRR216" s="28"/>
      <c r="DRS216" s="28"/>
      <c r="DRT216" s="28"/>
      <c r="DRU216" s="28"/>
      <c r="DRV216" s="28"/>
      <c r="DRW216" s="28"/>
      <c r="DRX216" s="28"/>
      <c r="DRY216" s="28"/>
      <c r="DRZ216" s="28"/>
      <c r="DSA216" s="28"/>
      <c r="DSB216" s="28"/>
      <c r="DSC216" s="28"/>
      <c r="DSD216" s="28"/>
      <c r="DSE216" s="28"/>
      <c r="DSF216" s="28"/>
      <c r="DSG216" s="28"/>
      <c r="DSH216" s="28"/>
      <c r="DSI216" s="28"/>
      <c r="DSJ216" s="28"/>
      <c r="DSK216" s="28"/>
      <c r="DSL216" s="28"/>
      <c r="DSM216" s="28"/>
      <c r="DSN216" s="28"/>
      <c r="DSO216" s="28"/>
      <c r="DSP216" s="28"/>
      <c r="DSQ216" s="28"/>
      <c r="DSR216" s="28"/>
      <c r="DSS216" s="28"/>
      <c r="DST216" s="28"/>
      <c r="DSU216" s="28"/>
      <c r="DSV216" s="28"/>
      <c r="DSW216" s="28"/>
      <c r="DSX216" s="28"/>
      <c r="DSY216" s="28"/>
      <c r="DSZ216" s="28"/>
      <c r="DTA216" s="28"/>
      <c r="DTB216" s="28"/>
      <c r="DTC216" s="28"/>
      <c r="DTD216" s="28"/>
      <c r="DTE216" s="28"/>
      <c r="DTF216" s="28"/>
      <c r="DTG216" s="28"/>
      <c r="DTH216" s="28"/>
      <c r="DTI216" s="28"/>
      <c r="DTJ216" s="28"/>
      <c r="DTK216" s="28"/>
      <c r="DTL216" s="28"/>
      <c r="DTM216" s="28"/>
      <c r="DTN216" s="28"/>
      <c r="DTO216" s="28"/>
      <c r="DTP216" s="28"/>
      <c r="DTQ216" s="28"/>
      <c r="DTR216" s="28"/>
      <c r="DTS216" s="28"/>
      <c r="DTT216" s="28"/>
      <c r="DTU216" s="28"/>
      <c r="DTV216" s="28"/>
      <c r="DTW216" s="28"/>
      <c r="DTX216" s="28"/>
      <c r="DTY216" s="28"/>
      <c r="DTZ216" s="28"/>
      <c r="DUA216" s="28"/>
      <c r="DUB216" s="28"/>
      <c r="DUC216" s="28"/>
      <c r="DUD216" s="28"/>
      <c r="DUE216" s="28"/>
      <c r="DUF216" s="28"/>
      <c r="DUG216" s="28"/>
      <c r="DUH216" s="28"/>
      <c r="DUI216" s="28"/>
      <c r="DUJ216" s="28"/>
      <c r="DUK216" s="28"/>
      <c r="DUL216" s="28"/>
      <c r="DUM216" s="28"/>
      <c r="DUN216" s="28"/>
      <c r="DUO216" s="28"/>
      <c r="DUP216" s="28"/>
      <c r="DUQ216" s="28"/>
      <c r="DUR216" s="28"/>
      <c r="DUS216" s="28"/>
      <c r="DUT216" s="28"/>
      <c r="DUU216" s="28"/>
      <c r="DUV216" s="28"/>
      <c r="DUW216" s="28"/>
      <c r="DUX216" s="28"/>
      <c r="DUY216" s="28"/>
      <c r="DUZ216" s="28"/>
      <c r="DVA216" s="28"/>
      <c r="DVB216" s="28"/>
      <c r="DVC216" s="28"/>
      <c r="DVD216" s="28"/>
      <c r="DVE216" s="28"/>
      <c r="DVF216" s="28"/>
      <c r="DVG216" s="28"/>
      <c r="DVH216" s="28"/>
      <c r="DVI216" s="28"/>
      <c r="DVJ216" s="28"/>
      <c r="DVK216" s="28"/>
      <c r="DVL216" s="28"/>
      <c r="DVM216" s="28"/>
      <c r="DVN216" s="28"/>
      <c r="DVO216" s="28"/>
      <c r="DVP216" s="28"/>
      <c r="DVQ216" s="28"/>
      <c r="DVR216" s="28"/>
      <c r="DVS216" s="28"/>
      <c r="DVT216" s="28"/>
      <c r="DVU216" s="28"/>
      <c r="DVV216" s="28"/>
      <c r="DVW216" s="28"/>
      <c r="DVX216" s="28"/>
      <c r="DVY216" s="28"/>
      <c r="DVZ216" s="28"/>
      <c r="DWA216" s="28"/>
      <c r="DWB216" s="28"/>
      <c r="DWC216" s="28"/>
      <c r="DWD216" s="28"/>
      <c r="DWE216" s="28"/>
      <c r="DWF216" s="28"/>
      <c r="DWG216" s="28"/>
      <c r="DWH216" s="28"/>
      <c r="DWI216" s="28"/>
      <c r="DWJ216" s="28"/>
      <c r="DWK216" s="28"/>
      <c r="DWL216" s="28"/>
      <c r="DWM216" s="28"/>
      <c r="DWN216" s="28"/>
      <c r="DWO216" s="28"/>
      <c r="DWP216" s="28"/>
      <c r="DWQ216" s="28"/>
      <c r="DWR216" s="28"/>
      <c r="DWS216" s="28"/>
      <c r="DWT216" s="28"/>
      <c r="DWU216" s="28"/>
      <c r="DWV216" s="28"/>
      <c r="DWW216" s="28"/>
      <c r="DWX216" s="28"/>
      <c r="DWY216" s="28"/>
      <c r="DWZ216" s="28"/>
      <c r="DXA216" s="28"/>
      <c r="DXB216" s="28"/>
      <c r="DXC216" s="28"/>
      <c r="DXD216" s="28"/>
      <c r="DXE216" s="28"/>
      <c r="DXF216" s="28"/>
      <c r="DXG216" s="28"/>
      <c r="DXH216" s="28"/>
      <c r="DXI216" s="28"/>
      <c r="DXJ216" s="28"/>
      <c r="DXK216" s="28"/>
      <c r="DXL216" s="28"/>
      <c r="DXM216" s="28"/>
      <c r="DXN216" s="28"/>
      <c r="DXO216" s="28"/>
      <c r="DXP216" s="28"/>
      <c r="DXQ216" s="28"/>
      <c r="DXR216" s="28"/>
      <c r="DXS216" s="28"/>
      <c r="DXT216" s="28"/>
      <c r="DXU216" s="28"/>
      <c r="DXV216" s="28"/>
      <c r="DXW216" s="28"/>
      <c r="DXX216" s="28"/>
      <c r="DXY216" s="28"/>
      <c r="DXZ216" s="28"/>
      <c r="DYA216" s="28"/>
      <c r="DYB216" s="28"/>
      <c r="DYC216" s="28"/>
      <c r="DYD216" s="28"/>
      <c r="DYE216" s="28"/>
      <c r="DYF216" s="28"/>
      <c r="DYG216" s="28"/>
      <c r="DYH216" s="28"/>
      <c r="DYI216" s="28"/>
      <c r="DYJ216" s="28"/>
      <c r="DYK216" s="28"/>
      <c r="DYL216" s="28"/>
      <c r="DYM216" s="28"/>
      <c r="DYN216" s="28"/>
      <c r="DYO216" s="28"/>
      <c r="DYP216" s="28"/>
      <c r="DYQ216" s="28"/>
      <c r="DYR216" s="28"/>
      <c r="DYS216" s="28"/>
      <c r="DYT216" s="28"/>
      <c r="DYU216" s="28"/>
      <c r="DYV216" s="28"/>
      <c r="DYW216" s="28"/>
      <c r="DYX216" s="28"/>
      <c r="DYY216" s="28"/>
      <c r="DYZ216" s="28"/>
      <c r="DZA216" s="28"/>
      <c r="DZB216" s="28"/>
      <c r="DZC216" s="28"/>
      <c r="DZD216" s="28"/>
      <c r="DZE216" s="28"/>
      <c r="DZF216" s="28"/>
      <c r="DZG216" s="28"/>
      <c r="DZH216" s="28"/>
      <c r="DZI216" s="28"/>
      <c r="DZJ216" s="28"/>
      <c r="DZK216" s="28"/>
      <c r="DZL216" s="28"/>
      <c r="DZM216" s="28"/>
      <c r="DZN216" s="28"/>
      <c r="DZO216" s="28"/>
      <c r="DZP216" s="28"/>
      <c r="DZQ216" s="28"/>
      <c r="DZR216" s="28"/>
      <c r="DZS216" s="28"/>
      <c r="DZT216" s="28"/>
      <c r="DZU216" s="28"/>
      <c r="DZV216" s="28"/>
      <c r="DZW216" s="28"/>
      <c r="DZX216" s="28"/>
      <c r="DZY216" s="28"/>
      <c r="DZZ216" s="28"/>
      <c r="EAA216" s="28"/>
      <c r="EAB216" s="28"/>
      <c r="EAC216" s="28"/>
      <c r="EAD216" s="28"/>
      <c r="EAE216" s="28"/>
      <c r="EAF216" s="28"/>
      <c r="EAG216" s="28"/>
      <c r="EAH216" s="28"/>
      <c r="EAI216" s="28"/>
      <c r="EAJ216" s="28"/>
      <c r="EAK216" s="28"/>
      <c r="EAL216" s="28"/>
      <c r="EAM216" s="28"/>
      <c r="EAN216" s="28"/>
      <c r="EAO216" s="28"/>
      <c r="EAP216" s="28"/>
      <c r="EAQ216" s="28"/>
      <c r="EAR216" s="28"/>
      <c r="EAS216" s="28"/>
      <c r="EAT216" s="28"/>
      <c r="EAU216" s="28"/>
      <c r="EAV216" s="28"/>
      <c r="EAW216" s="28"/>
      <c r="EAX216" s="28"/>
      <c r="EAY216" s="28"/>
      <c r="EAZ216" s="28"/>
      <c r="EBA216" s="28"/>
      <c r="EBB216" s="28"/>
      <c r="EBC216" s="28"/>
      <c r="EBD216" s="28"/>
      <c r="EBE216" s="28"/>
      <c r="EBF216" s="28"/>
      <c r="EBG216" s="28"/>
      <c r="EBH216" s="28"/>
      <c r="EBI216" s="28"/>
      <c r="EBJ216" s="28"/>
      <c r="EBK216" s="28"/>
      <c r="EBL216" s="28"/>
      <c r="EBM216" s="28"/>
      <c r="EBN216" s="28"/>
      <c r="EBO216" s="28"/>
      <c r="EBP216" s="28"/>
      <c r="EBQ216" s="28"/>
      <c r="EBR216" s="28"/>
      <c r="EBS216" s="28"/>
      <c r="EBT216" s="28"/>
      <c r="EBU216" s="28"/>
      <c r="EBV216" s="28"/>
      <c r="EBW216" s="28"/>
      <c r="EBX216" s="28"/>
      <c r="EBY216" s="28"/>
      <c r="EBZ216" s="28"/>
      <c r="ECA216" s="28"/>
      <c r="ECB216" s="28"/>
      <c r="ECC216" s="28"/>
      <c r="ECD216" s="28"/>
      <c r="ECE216" s="28"/>
      <c r="ECF216" s="28"/>
      <c r="ECG216" s="28"/>
      <c r="ECH216" s="28"/>
      <c r="ECI216" s="28"/>
      <c r="ECJ216" s="28"/>
      <c r="ECK216" s="28"/>
      <c r="ECL216" s="28"/>
      <c r="ECM216" s="28"/>
      <c r="ECN216" s="28"/>
      <c r="ECO216" s="28"/>
      <c r="ECP216" s="28"/>
      <c r="ECQ216" s="28"/>
      <c r="ECR216" s="28"/>
      <c r="ECS216" s="28"/>
      <c r="ECT216" s="28"/>
      <c r="ECU216" s="28"/>
      <c r="ECV216" s="28"/>
      <c r="ECW216" s="28"/>
      <c r="ECX216" s="28"/>
      <c r="ECY216" s="28"/>
      <c r="ECZ216" s="28"/>
      <c r="EDA216" s="28"/>
      <c r="EDB216" s="28"/>
      <c r="EDC216" s="28"/>
      <c r="EDD216" s="28"/>
      <c r="EDE216" s="28"/>
      <c r="EDF216" s="28"/>
      <c r="EDG216" s="28"/>
      <c r="EDH216" s="28"/>
      <c r="EDI216" s="28"/>
      <c r="EDJ216" s="28"/>
      <c r="EDK216" s="28"/>
      <c r="EDL216" s="28"/>
      <c r="EDM216" s="28"/>
      <c r="EDN216" s="28"/>
      <c r="EDO216" s="28"/>
      <c r="EDP216" s="28"/>
      <c r="EDQ216" s="28"/>
      <c r="EDR216" s="28"/>
      <c r="EDS216" s="28"/>
      <c r="EDT216" s="28"/>
      <c r="EDU216" s="28"/>
      <c r="EDV216" s="28"/>
      <c r="EDW216" s="28"/>
      <c r="EDX216" s="28"/>
      <c r="EDY216" s="28"/>
      <c r="EDZ216" s="28"/>
      <c r="EEA216" s="28"/>
      <c r="EEB216" s="28"/>
      <c r="EEC216" s="28"/>
      <c r="EED216" s="28"/>
      <c r="EEE216" s="28"/>
      <c r="EEF216" s="28"/>
      <c r="EEG216" s="28"/>
      <c r="EEH216" s="28"/>
      <c r="EEI216" s="28"/>
      <c r="EEJ216" s="28"/>
      <c r="EEK216" s="28"/>
      <c r="EEL216" s="28"/>
      <c r="EEM216" s="28"/>
      <c r="EEN216" s="28"/>
      <c r="EEO216" s="28"/>
      <c r="EEP216" s="28"/>
      <c r="EEQ216" s="28"/>
      <c r="EER216" s="28"/>
      <c r="EES216" s="28"/>
      <c r="EET216" s="28"/>
      <c r="EEU216" s="28"/>
      <c r="EEV216" s="28"/>
      <c r="EEW216" s="28"/>
      <c r="EEX216" s="28"/>
      <c r="EEY216" s="28"/>
      <c r="EEZ216" s="28"/>
      <c r="EFA216" s="28"/>
      <c r="EFB216" s="28"/>
      <c r="EFC216" s="28"/>
      <c r="EFD216" s="28"/>
      <c r="EFE216" s="28"/>
      <c r="EFF216" s="28"/>
      <c r="EFG216" s="28"/>
      <c r="EFH216" s="28"/>
      <c r="EFI216" s="28"/>
      <c r="EFJ216" s="28"/>
      <c r="EFK216" s="28"/>
      <c r="EFL216" s="28"/>
      <c r="EFM216" s="28"/>
      <c r="EFN216" s="28"/>
      <c r="EFO216" s="28"/>
      <c r="EFP216" s="28"/>
      <c r="EFQ216" s="28"/>
      <c r="EFR216" s="28"/>
      <c r="EFS216" s="28"/>
      <c r="EFT216" s="28"/>
      <c r="EFU216" s="28"/>
      <c r="EFV216" s="28"/>
      <c r="EFW216" s="28"/>
      <c r="EFX216" s="28"/>
      <c r="EFY216" s="28"/>
      <c r="EFZ216" s="28"/>
      <c r="EGA216" s="28"/>
      <c r="EGB216" s="28"/>
      <c r="EGC216" s="28"/>
      <c r="EGD216" s="28"/>
      <c r="EGE216" s="28"/>
      <c r="EGF216" s="28"/>
      <c r="EGG216" s="28"/>
      <c r="EGH216" s="28"/>
      <c r="EGI216" s="28"/>
      <c r="EGJ216" s="28"/>
      <c r="EGK216" s="28"/>
      <c r="EGL216" s="28"/>
      <c r="EGM216" s="28"/>
      <c r="EGN216" s="28"/>
      <c r="EGO216" s="28"/>
      <c r="EGP216" s="28"/>
      <c r="EGQ216" s="28"/>
      <c r="EGR216" s="28"/>
      <c r="EGS216" s="28"/>
      <c r="EGT216" s="28"/>
      <c r="EGU216" s="28"/>
      <c r="EGV216" s="28"/>
      <c r="EGW216" s="28"/>
      <c r="EGX216" s="28"/>
      <c r="EGY216" s="28"/>
      <c r="EGZ216" s="28"/>
      <c r="EHA216" s="28"/>
      <c r="EHB216" s="28"/>
      <c r="EHC216" s="28"/>
      <c r="EHD216" s="28"/>
      <c r="EHE216" s="28"/>
      <c r="EHF216" s="28"/>
      <c r="EHG216" s="28"/>
      <c r="EHH216" s="28"/>
      <c r="EHI216" s="28"/>
      <c r="EHJ216" s="28"/>
      <c r="EHK216" s="28"/>
      <c r="EHL216" s="28"/>
      <c r="EHM216" s="28"/>
      <c r="EHN216" s="28"/>
      <c r="EHO216" s="28"/>
      <c r="EHP216" s="28"/>
      <c r="EHQ216" s="28"/>
      <c r="EHR216" s="28"/>
      <c r="EHS216" s="28"/>
      <c r="EHT216" s="28"/>
      <c r="EHU216" s="28"/>
      <c r="EHV216" s="28"/>
      <c r="EHW216" s="28"/>
      <c r="EHX216" s="28"/>
      <c r="EHY216" s="28"/>
      <c r="EHZ216" s="28"/>
      <c r="EIA216" s="28"/>
      <c r="EIB216" s="28"/>
      <c r="EIC216" s="28"/>
      <c r="EID216" s="28"/>
      <c r="EIE216" s="28"/>
      <c r="EIF216" s="28"/>
      <c r="EIG216" s="28"/>
      <c r="EIH216" s="28"/>
      <c r="EII216" s="28"/>
      <c r="EIJ216" s="28"/>
      <c r="EIK216" s="28"/>
      <c r="EIL216" s="28"/>
      <c r="EIM216" s="28"/>
      <c r="EIN216" s="28"/>
      <c r="EIO216" s="28"/>
      <c r="EIP216" s="28"/>
      <c r="EIQ216" s="28"/>
      <c r="EIR216" s="28"/>
      <c r="EIS216" s="28"/>
      <c r="EIT216" s="28"/>
      <c r="EIU216" s="28"/>
      <c r="EIV216" s="28"/>
      <c r="EIW216" s="28"/>
      <c r="EIX216" s="28"/>
      <c r="EIY216" s="28"/>
      <c r="EIZ216" s="28"/>
      <c r="EJA216" s="28"/>
      <c r="EJB216" s="28"/>
      <c r="EJC216" s="28"/>
      <c r="EJD216" s="28"/>
      <c r="EJE216" s="28"/>
      <c r="EJF216" s="28"/>
      <c r="EJG216" s="28"/>
      <c r="EJH216" s="28"/>
      <c r="EJI216" s="28"/>
      <c r="EJJ216" s="28"/>
      <c r="EJK216" s="28"/>
      <c r="EJL216" s="28"/>
      <c r="EJM216" s="28"/>
      <c r="EJN216" s="28"/>
      <c r="EJO216" s="28"/>
      <c r="EJP216" s="28"/>
      <c r="EJQ216" s="28"/>
      <c r="EJR216" s="28"/>
      <c r="EJS216" s="28"/>
      <c r="EJT216" s="28"/>
      <c r="EJU216" s="28"/>
      <c r="EJV216" s="28"/>
      <c r="EJW216" s="28"/>
      <c r="EJX216" s="28"/>
      <c r="EJY216" s="28"/>
      <c r="EJZ216" s="28"/>
      <c r="EKA216" s="28"/>
      <c r="EKB216" s="28"/>
      <c r="EKC216" s="28"/>
      <c r="EKD216" s="28"/>
      <c r="EKE216" s="28"/>
      <c r="EKF216" s="28"/>
      <c r="EKG216" s="28"/>
      <c r="EKH216" s="28"/>
      <c r="EKI216" s="28"/>
      <c r="EKJ216" s="28"/>
      <c r="EKK216" s="28"/>
      <c r="EKL216" s="28"/>
      <c r="EKM216" s="28"/>
      <c r="EKN216" s="28"/>
      <c r="EKO216" s="28"/>
      <c r="EKP216" s="28"/>
      <c r="EKQ216" s="28"/>
      <c r="EKR216" s="28"/>
      <c r="EKS216" s="28"/>
      <c r="EKT216" s="28"/>
      <c r="EKU216" s="28"/>
      <c r="EKV216" s="28"/>
      <c r="EKW216" s="28"/>
      <c r="EKX216" s="28"/>
      <c r="EKY216" s="28"/>
      <c r="EKZ216" s="28"/>
      <c r="ELA216" s="28"/>
      <c r="ELB216" s="28"/>
      <c r="ELC216" s="28"/>
      <c r="ELD216" s="28"/>
      <c r="ELE216" s="28"/>
      <c r="ELF216" s="28"/>
      <c r="ELG216" s="28"/>
      <c r="ELH216" s="28"/>
      <c r="ELI216" s="28"/>
      <c r="ELJ216" s="28"/>
      <c r="ELK216" s="28"/>
      <c r="ELL216" s="28"/>
      <c r="ELM216" s="28"/>
      <c r="ELN216" s="28"/>
      <c r="ELO216" s="28"/>
      <c r="ELP216" s="28"/>
      <c r="ELQ216" s="28"/>
      <c r="ELR216" s="28"/>
      <c r="ELS216" s="28"/>
      <c r="ELT216" s="28"/>
      <c r="ELU216" s="28"/>
      <c r="ELV216" s="28"/>
      <c r="ELW216" s="28"/>
      <c r="ELX216" s="28"/>
      <c r="ELY216" s="28"/>
      <c r="ELZ216" s="28"/>
      <c r="EMA216" s="28"/>
      <c r="EMB216" s="28"/>
      <c r="EMC216" s="28"/>
      <c r="EMD216" s="28"/>
      <c r="EME216" s="28"/>
      <c r="EMF216" s="28"/>
      <c r="EMG216" s="28"/>
      <c r="EMH216" s="28"/>
      <c r="EMI216" s="28"/>
      <c r="EMJ216" s="28"/>
      <c r="EMK216" s="28"/>
      <c r="EML216" s="28"/>
      <c r="EMM216" s="28"/>
      <c r="EMN216" s="28"/>
      <c r="EMO216" s="28"/>
      <c r="EMP216" s="28"/>
      <c r="EMQ216" s="28"/>
      <c r="EMR216" s="28"/>
      <c r="EMS216" s="28"/>
      <c r="EMT216" s="28"/>
      <c r="EMU216" s="28"/>
      <c r="EMV216" s="28"/>
      <c r="EMW216" s="28"/>
      <c r="EMX216" s="28"/>
      <c r="EMY216" s="28"/>
      <c r="EMZ216" s="28"/>
      <c r="ENA216" s="28"/>
      <c r="ENB216" s="28"/>
      <c r="ENC216" s="28"/>
      <c r="END216" s="28"/>
      <c r="ENE216" s="28"/>
      <c r="ENF216" s="28"/>
      <c r="ENG216" s="28"/>
      <c r="ENH216" s="28"/>
      <c r="ENI216" s="28"/>
      <c r="ENJ216" s="28"/>
      <c r="ENK216" s="28"/>
      <c r="ENL216" s="28"/>
      <c r="ENM216" s="28"/>
      <c r="ENN216" s="28"/>
      <c r="ENO216" s="28"/>
      <c r="ENP216" s="28"/>
      <c r="ENQ216" s="28"/>
      <c r="ENR216" s="28"/>
      <c r="ENS216" s="28"/>
      <c r="ENT216" s="28"/>
      <c r="ENU216" s="28"/>
      <c r="ENV216" s="28"/>
      <c r="ENW216" s="28"/>
      <c r="ENX216" s="28"/>
      <c r="ENY216" s="28"/>
      <c r="ENZ216" s="28"/>
      <c r="EOA216" s="28"/>
      <c r="EOB216" s="28"/>
      <c r="EOC216" s="28"/>
      <c r="EOD216" s="28"/>
      <c r="EOE216" s="28"/>
      <c r="EOF216" s="28"/>
      <c r="EOG216" s="28"/>
      <c r="EOH216" s="28"/>
      <c r="EOI216" s="28"/>
      <c r="EOJ216" s="28"/>
      <c r="EOK216" s="28"/>
      <c r="EOL216" s="28"/>
      <c r="EOM216" s="28"/>
      <c r="EON216" s="28"/>
      <c r="EOO216" s="28"/>
      <c r="EOP216" s="28"/>
      <c r="EOQ216" s="28"/>
      <c r="EOR216" s="28"/>
      <c r="EOS216" s="28"/>
      <c r="EOT216" s="28"/>
      <c r="EOU216" s="28"/>
      <c r="EOV216" s="28"/>
      <c r="EOW216" s="28"/>
      <c r="EOX216" s="28"/>
      <c r="EOY216" s="28"/>
      <c r="EOZ216" s="28"/>
      <c r="EPA216" s="28"/>
      <c r="EPB216" s="28"/>
      <c r="EPC216" s="28"/>
      <c r="EPD216" s="28"/>
      <c r="EPE216" s="28"/>
      <c r="EPF216" s="28"/>
      <c r="EPG216" s="28"/>
      <c r="EPH216" s="28"/>
      <c r="EPI216" s="28"/>
      <c r="EPJ216" s="28"/>
      <c r="EPK216" s="28"/>
      <c r="EPL216" s="28"/>
      <c r="EPM216" s="28"/>
      <c r="EPN216" s="28"/>
      <c r="EPO216" s="28"/>
      <c r="EPP216" s="28"/>
      <c r="EPQ216" s="28"/>
      <c r="EPR216" s="28"/>
      <c r="EPS216" s="28"/>
      <c r="EPT216" s="28"/>
      <c r="EPU216" s="28"/>
      <c r="EPV216" s="28"/>
      <c r="EPW216" s="28"/>
      <c r="EPX216" s="28"/>
      <c r="EPY216" s="28"/>
      <c r="EPZ216" s="28"/>
      <c r="EQA216" s="28"/>
      <c r="EQB216" s="28"/>
      <c r="EQC216" s="28"/>
      <c r="EQD216" s="28"/>
      <c r="EQE216" s="28"/>
      <c r="EQF216" s="28"/>
      <c r="EQG216" s="28"/>
      <c r="EQH216" s="28"/>
      <c r="EQI216" s="28"/>
      <c r="EQJ216" s="28"/>
      <c r="EQK216" s="28"/>
      <c r="EQL216" s="28"/>
      <c r="EQM216" s="28"/>
      <c r="EQN216" s="28"/>
      <c r="EQO216" s="28"/>
      <c r="EQP216" s="28"/>
      <c r="EQQ216" s="28"/>
      <c r="EQR216" s="28"/>
      <c r="EQS216" s="28"/>
      <c r="EQT216" s="28"/>
      <c r="EQU216" s="28"/>
      <c r="EQV216" s="28"/>
      <c r="EQW216" s="28"/>
      <c r="EQX216" s="28"/>
      <c r="EQY216" s="28"/>
      <c r="EQZ216" s="28"/>
      <c r="ERA216" s="28"/>
      <c r="ERB216" s="28"/>
      <c r="ERC216" s="28"/>
      <c r="ERD216" s="28"/>
      <c r="ERE216" s="28"/>
      <c r="ERF216" s="28"/>
      <c r="ERG216" s="28"/>
      <c r="ERH216" s="28"/>
      <c r="ERI216" s="28"/>
      <c r="ERJ216" s="28"/>
      <c r="ERK216" s="28"/>
      <c r="ERL216" s="28"/>
      <c r="ERM216" s="28"/>
      <c r="ERN216" s="28"/>
      <c r="ERO216" s="28"/>
      <c r="ERP216" s="28"/>
      <c r="ERQ216" s="28"/>
      <c r="ERR216" s="28"/>
      <c r="ERS216" s="28"/>
      <c r="ERT216" s="28"/>
      <c r="ERU216" s="28"/>
      <c r="ERV216" s="28"/>
      <c r="ERW216" s="28"/>
      <c r="ERX216" s="28"/>
      <c r="ERY216" s="28"/>
      <c r="ERZ216" s="28"/>
      <c r="ESA216" s="28"/>
      <c r="ESB216" s="28"/>
      <c r="ESC216" s="28"/>
      <c r="ESD216" s="28"/>
      <c r="ESE216" s="28"/>
      <c r="ESF216" s="28"/>
      <c r="ESG216" s="28"/>
      <c r="ESH216" s="28"/>
      <c r="ESI216" s="28"/>
      <c r="ESJ216" s="28"/>
      <c r="ESK216" s="28"/>
      <c r="ESL216" s="28"/>
      <c r="ESM216" s="28"/>
      <c r="ESN216" s="28"/>
      <c r="ESO216" s="28"/>
      <c r="ESP216" s="28"/>
      <c r="ESQ216" s="28"/>
      <c r="ESR216" s="28"/>
      <c r="ESS216" s="28"/>
      <c r="EST216" s="28"/>
      <c r="ESU216" s="28"/>
      <c r="ESV216" s="28"/>
      <c r="ESW216" s="28"/>
      <c r="ESX216" s="28"/>
      <c r="ESY216" s="28"/>
      <c r="ESZ216" s="28"/>
      <c r="ETA216" s="28"/>
      <c r="ETB216" s="28"/>
      <c r="ETC216" s="28"/>
      <c r="ETD216" s="28"/>
      <c r="ETE216" s="28"/>
      <c r="ETF216" s="28"/>
      <c r="ETG216" s="28"/>
      <c r="ETH216" s="28"/>
      <c r="ETI216" s="28"/>
      <c r="ETJ216" s="28"/>
      <c r="ETK216" s="28"/>
      <c r="ETL216" s="28"/>
      <c r="ETM216" s="28"/>
      <c r="ETN216" s="28"/>
      <c r="ETO216" s="28"/>
      <c r="ETP216" s="28"/>
      <c r="ETQ216" s="28"/>
      <c r="ETR216" s="28"/>
      <c r="ETS216" s="28"/>
      <c r="ETT216" s="28"/>
      <c r="ETU216" s="28"/>
      <c r="ETV216" s="28"/>
      <c r="ETW216" s="28"/>
      <c r="ETX216" s="28"/>
      <c r="ETY216" s="28"/>
      <c r="ETZ216" s="28"/>
      <c r="EUA216" s="28"/>
      <c r="EUB216" s="28"/>
      <c r="EUC216" s="28"/>
      <c r="EUD216" s="28"/>
      <c r="EUE216" s="28"/>
      <c r="EUF216" s="28"/>
      <c r="EUG216" s="28"/>
      <c r="EUH216" s="28"/>
      <c r="EUI216" s="28"/>
      <c r="EUJ216" s="28"/>
      <c r="EUK216" s="28"/>
      <c r="EUL216" s="28"/>
      <c r="EUM216" s="28"/>
      <c r="EUN216" s="28"/>
      <c r="EUO216" s="28"/>
      <c r="EUP216" s="28"/>
      <c r="EUQ216" s="28"/>
      <c r="EUR216" s="28"/>
      <c r="EUS216" s="28"/>
      <c r="EUT216" s="28"/>
      <c r="EUU216" s="28"/>
      <c r="EUV216" s="28"/>
      <c r="EUW216" s="28"/>
      <c r="EUX216" s="28"/>
      <c r="EUY216" s="28"/>
      <c r="EUZ216" s="28"/>
      <c r="EVA216" s="28"/>
      <c r="EVB216" s="28"/>
      <c r="EVC216" s="28"/>
      <c r="EVD216" s="28"/>
      <c r="EVE216" s="28"/>
      <c r="EVF216" s="28"/>
      <c r="EVG216" s="28"/>
      <c r="EVH216" s="28"/>
      <c r="EVI216" s="28"/>
      <c r="EVJ216" s="28"/>
      <c r="EVK216" s="28"/>
      <c r="EVL216" s="28"/>
      <c r="EVM216" s="28"/>
      <c r="EVN216" s="28"/>
      <c r="EVO216" s="28"/>
      <c r="EVP216" s="28"/>
      <c r="EVQ216" s="28"/>
      <c r="EVR216" s="28"/>
      <c r="EVS216" s="28"/>
      <c r="EVT216" s="28"/>
      <c r="EVU216" s="28"/>
      <c r="EVV216" s="28"/>
      <c r="EVW216" s="28"/>
      <c r="EVX216" s="28"/>
      <c r="EVY216" s="28"/>
      <c r="EVZ216" s="28"/>
      <c r="EWA216" s="28"/>
      <c r="EWB216" s="28"/>
      <c r="EWC216" s="28"/>
      <c r="EWD216" s="28"/>
      <c r="EWE216" s="28"/>
      <c r="EWF216" s="28"/>
      <c r="EWG216" s="28"/>
      <c r="EWH216" s="28"/>
      <c r="EWI216" s="28"/>
      <c r="EWJ216" s="28"/>
      <c r="EWK216" s="28"/>
      <c r="EWL216" s="28"/>
      <c r="EWM216" s="28"/>
      <c r="EWN216" s="28"/>
      <c r="EWO216" s="28"/>
      <c r="EWP216" s="28"/>
      <c r="EWQ216" s="28"/>
      <c r="EWR216" s="28"/>
      <c r="EWS216" s="28"/>
      <c r="EWT216" s="28"/>
      <c r="EWU216" s="28"/>
      <c r="EWV216" s="28"/>
      <c r="EWW216" s="28"/>
      <c r="EWX216" s="28"/>
      <c r="EWY216" s="28"/>
      <c r="EWZ216" s="28"/>
      <c r="EXA216" s="28"/>
      <c r="EXB216" s="28"/>
      <c r="EXC216" s="28"/>
      <c r="EXD216" s="28"/>
      <c r="EXE216" s="28"/>
      <c r="EXF216" s="28"/>
      <c r="EXG216" s="28"/>
      <c r="EXH216" s="28"/>
      <c r="EXI216" s="28"/>
      <c r="EXJ216" s="28"/>
      <c r="EXK216" s="28"/>
      <c r="EXL216" s="28"/>
      <c r="EXM216" s="28"/>
      <c r="EXN216" s="28"/>
      <c r="EXO216" s="28"/>
      <c r="EXP216" s="28"/>
      <c r="EXQ216" s="28"/>
      <c r="EXR216" s="28"/>
      <c r="EXS216" s="28"/>
      <c r="EXT216" s="28"/>
      <c r="EXU216" s="28"/>
      <c r="EXV216" s="28"/>
      <c r="EXW216" s="28"/>
      <c r="EXX216" s="28"/>
      <c r="EXY216" s="28"/>
      <c r="EXZ216" s="28"/>
      <c r="EYA216" s="28"/>
      <c r="EYB216" s="28"/>
      <c r="EYC216" s="28"/>
      <c r="EYD216" s="28"/>
      <c r="EYE216" s="28"/>
      <c r="EYF216" s="28"/>
      <c r="EYG216" s="28"/>
      <c r="EYH216" s="28"/>
      <c r="EYI216" s="28"/>
      <c r="EYJ216" s="28"/>
      <c r="EYK216" s="28"/>
      <c r="EYL216" s="28"/>
      <c r="EYM216" s="28"/>
      <c r="EYN216" s="28"/>
      <c r="EYO216" s="28"/>
      <c r="EYP216" s="28"/>
      <c r="EYQ216" s="28"/>
      <c r="EYR216" s="28"/>
      <c r="EYS216" s="28"/>
      <c r="EYT216" s="28"/>
      <c r="EYU216" s="28"/>
      <c r="EYV216" s="28"/>
      <c r="EYW216" s="28"/>
      <c r="EYX216" s="28"/>
      <c r="EYY216" s="28"/>
      <c r="EYZ216" s="28"/>
      <c r="EZA216" s="28"/>
      <c r="EZB216" s="28"/>
      <c r="EZC216" s="28"/>
      <c r="EZD216" s="28"/>
      <c r="EZE216" s="28"/>
      <c r="EZF216" s="28"/>
      <c r="EZG216" s="28"/>
      <c r="EZH216" s="28"/>
      <c r="EZI216" s="28"/>
      <c r="EZJ216" s="28"/>
      <c r="EZK216" s="28"/>
      <c r="EZL216" s="28"/>
      <c r="EZM216" s="28"/>
      <c r="EZN216" s="28"/>
      <c r="EZO216" s="28"/>
      <c r="EZP216" s="28"/>
      <c r="EZQ216" s="28"/>
      <c r="EZR216" s="28"/>
      <c r="EZS216" s="28"/>
      <c r="EZT216" s="28"/>
      <c r="EZU216" s="28"/>
      <c r="EZV216" s="28"/>
      <c r="EZW216" s="28"/>
      <c r="EZX216" s="28"/>
      <c r="EZY216" s="28"/>
      <c r="EZZ216" s="28"/>
      <c r="FAA216" s="28"/>
      <c r="FAB216" s="28"/>
      <c r="FAC216" s="28"/>
      <c r="FAD216" s="28"/>
      <c r="FAE216" s="28"/>
      <c r="FAF216" s="28"/>
      <c r="FAG216" s="28"/>
      <c r="FAH216" s="28"/>
      <c r="FAI216" s="28"/>
      <c r="FAJ216" s="28"/>
      <c r="FAK216" s="28"/>
      <c r="FAL216" s="28"/>
      <c r="FAM216" s="28"/>
      <c r="FAN216" s="28"/>
      <c r="FAO216" s="28"/>
      <c r="FAP216" s="28"/>
      <c r="FAQ216" s="28"/>
      <c r="FAR216" s="28"/>
      <c r="FAS216" s="28"/>
      <c r="FAT216" s="28"/>
      <c r="FAU216" s="28"/>
      <c r="FAV216" s="28"/>
      <c r="FAW216" s="28"/>
      <c r="FAX216" s="28"/>
      <c r="FAY216" s="28"/>
      <c r="FAZ216" s="28"/>
      <c r="FBA216" s="28"/>
      <c r="FBB216" s="28"/>
      <c r="FBC216" s="28"/>
      <c r="FBD216" s="28"/>
      <c r="FBE216" s="28"/>
      <c r="FBF216" s="28"/>
      <c r="FBG216" s="28"/>
      <c r="FBH216" s="28"/>
      <c r="FBI216" s="28"/>
      <c r="FBJ216" s="28"/>
      <c r="FBK216" s="28"/>
      <c r="FBL216" s="28"/>
      <c r="FBM216" s="28"/>
      <c r="FBN216" s="28"/>
      <c r="FBO216" s="28"/>
      <c r="FBP216" s="28"/>
      <c r="FBQ216" s="28"/>
      <c r="FBR216" s="28"/>
      <c r="FBS216" s="28"/>
      <c r="FBT216" s="28"/>
      <c r="FBU216" s="28"/>
      <c r="FBV216" s="28"/>
      <c r="FBW216" s="28"/>
      <c r="FBX216" s="28"/>
      <c r="FBY216" s="28"/>
      <c r="FBZ216" s="28"/>
      <c r="FCA216" s="28"/>
      <c r="FCB216" s="28"/>
      <c r="FCC216" s="28"/>
      <c r="FCD216" s="28"/>
      <c r="FCE216" s="28"/>
      <c r="FCF216" s="28"/>
      <c r="FCG216" s="28"/>
      <c r="FCH216" s="28"/>
      <c r="FCI216" s="28"/>
      <c r="FCJ216" s="28"/>
      <c r="FCK216" s="28"/>
      <c r="FCL216" s="28"/>
      <c r="FCM216" s="28"/>
      <c r="FCN216" s="28"/>
      <c r="FCO216" s="28"/>
      <c r="FCP216" s="28"/>
      <c r="FCQ216" s="28"/>
      <c r="FCR216" s="28"/>
      <c r="FCS216" s="28"/>
      <c r="FCT216" s="28"/>
      <c r="FCU216" s="28"/>
      <c r="FCV216" s="28"/>
      <c r="FCW216" s="28"/>
      <c r="FCX216" s="28"/>
      <c r="FCY216" s="28"/>
      <c r="FCZ216" s="28"/>
      <c r="FDA216" s="28"/>
      <c r="FDB216" s="28"/>
      <c r="FDC216" s="28"/>
      <c r="FDD216" s="28"/>
      <c r="FDE216" s="28"/>
      <c r="FDF216" s="28"/>
      <c r="FDG216" s="28"/>
      <c r="FDH216" s="28"/>
      <c r="FDI216" s="28"/>
      <c r="FDJ216" s="28"/>
      <c r="FDK216" s="28"/>
      <c r="FDL216" s="28"/>
      <c r="FDM216" s="28"/>
      <c r="FDN216" s="28"/>
      <c r="FDO216" s="28"/>
      <c r="FDP216" s="28"/>
      <c r="FDQ216" s="28"/>
      <c r="FDR216" s="28"/>
      <c r="FDS216" s="28"/>
      <c r="FDT216" s="28"/>
      <c r="FDU216" s="28"/>
      <c r="FDV216" s="28"/>
      <c r="FDW216" s="28"/>
      <c r="FDX216" s="28"/>
      <c r="FDY216" s="28"/>
      <c r="FDZ216" s="28"/>
      <c r="FEA216" s="28"/>
      <c r="FEB216" s="28"/>
      <c r="FEC216" s="28"/>
      <c r="FED216" s="28"/>
      <c r="FEE216" s="28"/>
      <c r="FEF216" s="28"/>
      <c r="FEG216" s="28"/>
      <c r="FEH216" s="28"/>
      <c r="FEI216" s="28"/>
      <c r="FEJ216" s="28"/>
      <c r="FEK216" s="28"/>
      <c r="FEL216" s="28"/>
      <c r="FEM216" s="28"/>
      <c r="FEN216" s="28"/>
      <c r="FEO216" s="28"/>
      <c r="FEP216" s="28"/>
      <c r="FEQ216" s="28"/>
      <c r="FER216" s="28"/>
      <c r="FES216" s="28"/>
      <c r="FET216" s="28"/>
      <c r="FEU216" s="28"/>
      <c r="FEV216" s="28"/>
      <c r="FEW216" s="28"/>
      <c r="FEX216" s="28"/>
      <c r="FEY216" s="28"/>
      <c r="FEZ216" s="28"/>
      <c r="FFA216" s="28"/>
      <c r="FFB216" s="28"/>
      <c r="FFC216" s="28"/>
      <c r="FFD216" s="28"/>
      <c r="FFE216" s="28"/>
      <c r="FFF216" s="28"/>
      <c r="FFG216" s="28"/>
      <c r="FFH216" s="28"/>
      <c r="FFI216" s="28"/>
      <c r="FFJ216" s="28"/>
      <c r="FFK216" s="28"/>
      <c r="FFL216" s="28"/>
      <c r="FFM216" s="28"/>
      <c r="FFN216" s="28"/>
      <c r="FFO216" s="28"/>
      <c r="FFP216" s="28"/>
      <c r="FFQ216" s="28"/>
      <c r="FFR216" s="28"/>
      <c r="FFS216" s="28"/>
      <c r="FFT216" s="28"/>
      <c r="FFU216" s="28"/>
      <c r="FFV216" s="28"/>
      <c r="FFW216" s="28"/>
      <c r="FFX216" s="28"/>
      <c r="FFY216" s="28"/>
      <c r="FFZ216" s="28"/>
      <c r="FGA216" s="28"/>
      <c r="FGB216" s="28"/>
      <c r="FGC216" s="28"/>
      <c r="FGD216" s="28"/>
      <c r="FGE216" s="28"/>
      <c r="FGF216" s="28"/>
      <c r="FGG216" s="28"/>
      <c r="FGH216" s="28"/>
      <c r="FGI216" s="28"/>
      <c r="FGJ216" s="28"/>
      <c r="FGK216" s="28"/>
      <c r="FGL216" s="28"/>
      <c r="FGM216" s="28"/>
      <c r="FGN216" s="28"/>
      <c r="FGO216" s="28"/>
      <c r="FGP216" s="28"/>
      <c r="FGQ216" s="28"/>
      <c r="FGR216" s="28"/>
      <c r="FGS216" s="28"/>
      <c r="FGT216" s="28"/>
      <c r="FGU216" s="28"/>
      <c r="FGV216" s="28"/>
      <c r="FGW216" s="28"/>
      <c r="FGX216" s="28"/>
      <c r="FGY216" s="28"/>
      <c r="FGZ216" s="28"/>
      <c r="FHA216" s="28"/>
      <c r="FHB216" s="28"/>
      <c r="FHC216" s="28"/>
      <c r="FHD216" s="28"/>
      <c r="FHE216" s="28"/>
      <c r="FHF216" s="28"/>
      <c r="FHG216" s="28"/>
      <c r="FHH216" s="28"/>
      <c r="FHI216" s="28"/>
      <c r="FHJ216" s="28"/>
      <c r="FHK216" s="28"/>
      <c r="FHL216" s="28"/>
      <c r="FHM216" s="28"/>
      <c r="FHN216" s="28"/>
      <c r="FHO216" s="28"/>
      <c r="FHP216" s="28"/>
      <c r="FHQ216" s="28"/>
      <c r="FHR216" s="28"/>
      <c r="FHS216" s="28"/>
      <c r="FHT216" s="28"/>
      <c r="FHU216" s="28"/>
      <c r="FHV216" s="28"/>
      <c r="FHW216" s="28"/>
      <c r="FHX216" s="28"/>
      <c r="FHY216" s="28"/>
      <c r="FHZ216" s="28"/>
      <c r="FIA216" s="28"/>
      <c r="FIB216" s="28"/>
      <c r="FIC216" s="28"/>
      <c r="FID216" s="28"/>
      <c r="FIE216" s="28"/>
      <c r="FIF216" s="28"/>
      <c r="FIG216" s="28"/>
      <c r="FIH216" s="28"/>
      <c r="FII216" s="28"/>
      <c r="FIJ216" s="28"/>
      <c r="FIK216" s="28"/>
      <c r="FIL216" s="28"/>
      <c r="FIM216" s="28"/>
      <c r="FIN216" s="28"/>
      <c r="FIO216" s="28"/>
      <c r="FIP216" s="28"/>
      <c r="FIQ216" s="28"/>
      <c r="FIR216" s="28"/>
      <c r="FIS216" s="28"/>
      <c r="FIT216" s="28"/>
      <c r="FIU216" s="28"/>
      <c r="FIV216" s="28"/>
      <c r="FIW216" s="28"/>
      <c r="FIX216" s="28"/>
      <c r="FIY216" s="28"/>
      <c r="FIZ216" s="28"/>
      <c r="FJA216" s="28"/>
      <c r="FJB216" s="28"/>
      <c r="FJC216" s="28"/>
      <c r="FJD216" s="28"/>
      <c r="FJE216" s="28"/>
      <c r="FJF216" s="28"/>
      <c r="FJG216" s="28"/>
      <c r="FJH216" s="28"/>
      <c r="FJI216" s="28"/>
      <c r="FJJ216" s="28"/>
      <c r="FJK216" s="28"/>
      <c r="FJL216" s="28"/>
      <c r="FJM216" s="28"/>
      <c r="FJN216" s="28"/>
      <c r="FJO216" s="28"/>
      <c r="FJP216" s="28"/>
      <c r="FJQ216" s="28"/>
      <c r="FJR216" s="28"/>
      <c r="FJS216" s="28"/>
      <c r="FJT216" s="28"/>
      <c r="FJU216" s="28"/>
      <c r="FJV216" s="28"/>
      <c r="FJW216" s="28"/>
      <c r="FJX216" s="28"/>
      <c r="FJY216" s="28"/>
      <c r="FJZ216" s="28"/>
      <c r="FKA216" s="28"/>
      <c r="FKB216" s="28"/>
      <c r="FKC216" s="28"/>
      <c r="FKD216" s="28"/>
      <c r="FKE216" s="28"/>
      <c r="FKF216" s="28"/>
      <c r="FKG216" s="28"/>
      <c r="FKH216" s="28"/>
      <c r="FKI216" s="28"/>
      <c r="FKJ216" s="28"/>
      <c r="FKK216" s="28"/>
      <c r="FKL216" s="28"/>
      <c r="FKM216" s="28"/>
      <c r="FKN216" s="28"/>
      <c r="FKO216" s="28"/>
      <c r="FKP216" s="28"/>
      <c r="FKQ216" s="28"/>
      <c r="FKR216" s="28"/>
      <c r="FKS216" s="28"/>
      <c r="FKT216" s="28"/>
      <c r="FKU216" s="28"/>
      <c r="FKV216" s="28"/>
      <c r="FKW216" s="28"/>
      <c r="FKX216" s="28"/>
      <c r="FKY216" s="28"/>
      <c r="FKZ216" s="28"/>
      <c r="FLA216" s="28"/>
      <c r="FLB216" s="28"/>
      <c r="FLC216" s="28"/>
      <c r="FLD216" s="28"/>
      <c r="FLE216" s="28"/>
      <c r="FLF216" s="28"/>
      <c r="FLG216" s="28"/>
      <c r="FLH216" s="28"/>
      <c r="FLI216" s="28"/>
      <c r="FLJ216" s="28"/>
      <c r="FLK216" s="28"/>
      <c r="FLL216" s="28"/>
      <c r="FLM216" s="28"/>
      <c r="FLN216" s="28"/>
      <c r="FLO216" s="28"/>
      <c r="FLP216" s="28"/>
      <c r="FLQ216" s="28"/>
      <c r="FLR216" s="28"/>
      <c r="FLS216" s="28"/>
      <c r="FLT216" s="28"/>
      <c r="FLU216" s="28"/>
      <c r="FLV216" s="28"/>
      <c r="FLW216" s="28"/>
      <c r="FLX216" s="28"/>
      <c r="FLY216" s="28"/>
      <c r="FLZ216" s="28"/>
      <c r="FMA216" s="28"/>
      <c r="FMB216" s="28"/>
      <c r="FMC216" s="28"/>
      <c r="FMD216" s="28"/>
      <c r="FME216" s="28"/>
      <c r="FMF216" s="28"/>
      <c r="FMG216" s="28"/>
      <c r="FMH216" s="28"/>
      <c r="FMI216" s="28"/>
      <c r="FMJ216" s="28"/>
      <c r="FMK216" s="28"/>
      <c r="FML216" s="28"/>
      <c r="FMM216" s="28"/>
      <c r="FMN216" s="28"/>
      <c r="FMO216" s="28"/>
      <c r="FMP216" s="28"/>
      <c r="FMQ216" s="28"/>
      <c r="FMR216" s="28"/>
      <c r="FMS216" s="28"/>
      <c r="FMT216" s="28"/>
      <c r="FMU216" s="28"/>
      <c r="FMV216" s="28"/>
      <c r="FMW216" s="28"/>
      <c r="FMX216" s="28"/>
      <c r="FMY216" s="28"/>
      <c r="FMZ216" s="28"/>
      <c r="FNA216" s="28"/>
      <c r="FNB216" s="28"/>
      <c r="FNC216" s="28"/>
      <c r="FND216" s="28"/>
      <c r="FNE216" s="28"/>
      <c r="FNF216" s="28"/>
      <c r="FNG216" s="28"/>
      <c r="FNH216" s="28"/>
      <c r="FNI216" s="28"/>
      <c r="FNJ216" s="28"/>
      <c r="FNK216" s="28"/>
      <c r="FNL216" s="28"/>
      <c r="FNM216" s="28"/>
      <c r="FNN216" s="28"/>
      <c r="FNO216" s="28"/>
      <c r="FNP216" s="28"/>
      <c r="FNQ216" s="28"/>
      <c r="FNR216" s="28"/>
      <c r="FNS216" s="28"/>
      <c r="FNT216" s="28"/>
      <c r="FNU216" s="28"/>
      <c r="FNV216" s="28"/>
      <c r="FNW216" s="28"/>
      <c r="FNX216" s="28"/>
      <c r="FNY216" s="28"/>
      <c r="FNZ216" s="28"/>
      <c r="FOA216" s="28"/>
      <c r="FOB216" s="28"/>
      <c r="FOC216" s="28"/>
      <c r="FOD216" s="28"/>
      <c r="FOE216" s="28"/>
      <c r="FOF216" s="28"/>
      <c r="FOG216" s="28"/>
      <c r="FOH216" s="28"/>
      <c r="FOI216" s="28"/>
      <c r="FOJ216" s="28"/>
      <c r="FOK216" s="28"/>
      <c r="FOL216" s="28"/>
      <c r="FOM216" s="28"/>
      <c r="FON216" s="28"/>
      <c r="FOO216" s="28"/>
      <c r="FOP216" s="28"/>
      <c r="FOQ216" s="28"/>
      <c r="FOR216" s="28"/>
      <c r="FOS216" s="28"/>
      <c r="FOT216" s="28"/>
      <c r="FOU216" s="28"/>
      <c r="FOV216" s="28"/>
      <c r="FOW216" s="28"/>
      <c r="FOX216" s="28"/>
      <c r="FOY216" s="28"/>
      <c r="FOZ216" s="28"/>
      <c r="FPA216" s="28"/>
      <c r="FPB216" s="28"/>
      <c r="FPC216" s="28"/>
      <c r="FPD216" s="28"/>
      <c r="FPE216" s="28"/>
      <c r="FPF216" s="28"/>
      <c r="FPG216" s="28"/>
      <c r="FPH216" s="28"/>
      <c r="FPI216" s="28"/>
      <c r="FPJ216" s="28"/>
      <c r="FPK216" s="28"/>
      <c r="FPL216" s="28"/>
      <c r="FPM216" s="28"/>
      <c r="FPN216" s="28"/>
      <c r="FPO216" s="28"/>
      <c r="FPP216" s="28"/>
      <c r="FPQ216" s="28"/>
      <c r="FPR216" s="28"/>
      <c r="FPS216" s="28"/>
      <c r="FPT216" s="28"/>
      <c r="FPU216" s="28"/>
      <c r="FPV216" s="28"/>
      <c r="FPW216" s="28"/>
      <c r="FPX216" s="28"/>
      <c r="FPY216" s="28"/>
      <c r="FPZ216" s="28"/>
      <c r="FQA216" s="28"/>
      <c r="FQB216" s="28"/>
      <c r="FQC216" s="28"/>
      <c r="FQD216" s="28"/>
      <c r="FQE216" s="28"/>
      <c r="FQF216" s="28"/>
      <c r="FQG216" s="28"/>
      <c r="FQH216" s="28"/>
      <c r="FQI216" s="28"/>
      <c r="FQJ216" s="28"/>
      <c r="FQK216" s="28"/>
      <c r="FQL216" s="28"/>
      <c r="FQM216" s="28"/>
      <c r="FQN216" s="28"/>
      <c r="FQO216" s="28"/>
      <c r="FQP216" s="28"/>
      <c r="FQQ216" s="28"/>
      <c r="FQR216" s="28"/>
      <c r="FQS216" s="28"/>
      <c r="FQT216" s="28"/>
      <c r="FQU216" s="28"/>
      <c r="FQV216" s="28"/>
      <c r="FQW216" s="28"/>
      <c r="FQX216" s="28"/>
      <c r="FQY216" s="28"/>
      <c r="FQZ216" s="28"/>
      <c r="FRA216" s="28"/>
      <c r="FRB216" s="28"/>
      <c r="FRC216" s="28"/>
      <c r="FRD216" s="28"/>
      <c r="FRE216" s="28"/>
      <c r="FRF216" s="28"/>
      <c r="FRG216" s="28"/>
      <c r="FRH216" s="28"/>
      <c r="FRI216" s="28"/>
      <c r="FRJ216" s="28"/>
      <c r="FRK216" s="28"/>
      <c r="FRL216" s="28"/>
      <c r="FRM216" s="28"/>
      <c r="FRN216" s="28"/>
      <c r="FRO216" s="28"/>
      <c r="FRP216" s="28"/>
      <c r="FRQ216" s="28"/>
      <c r="FRR216" s="28"/>
      <c r="FRS216" s="28"/>
      <c r="FRT216" s="28"/>
      <c r="FRU216" s="28"/>
      <c r="FRV216" s="28"/>
      <c r="FRW216" s="28"/>
      <c r="FRX216" s="28"/>
      <c r="FRY216" s="28"/>
      <c r="FRZ216" s="28"/>
      <c r="FSA216" s="28"/>
      <c r="FSB216" s="28"/>
      <c r="FSC216" s="28"/>
      <c r="FSD216" s="28"/>
      <c r="FSE216" s="28"/>
      <c r="FSF216" s="28"/>
      <c r="FSG216" s="28"/>
      <c r="FSH216" s="28"/>
      <c r="FSI216" s="28"/>
      <c r="FSJ216" s="28"/>
      <c r="FSK216" s="28"/>
      <c r="FSL216" s="28"/>
      <c r="FSM216" s="28"/>
      <c r="FSN216" s="28"/>
      <c r="FSO216" s="28"/>
      <c r="FSP216" s="28"/>
      <c r="FSQ216" s="28"/>
      <c r="FSR216" s="28"/>
      <c r="FSS216" s="28"/>
      <c r="FST216" s="28"/>
      <c r="FSU216" s="28"/>
      <c r="FSV216" s="28"/>
      <c r="FSW216" s="28"/>
      <c r="FSX216" s="28"/>
      <c r="FSY216" s="28"/>
      <c r="FSZ216" s="28"/>
      <c r="FTA216" s="28"/>
      <c r="FTB216" s="28"/>
      <c r="FTC216" s="28"/>
      <c r="FTD216" s="28"/>
      <c r="FTE216" s="28"/>
      <c r="FTF216" s="28"/>
      <c r="FTG216" s="28"/>
      <c r="FTH216" s="28"/>
      <c r="FTI216" s="28"/>
      <c r="FTJ216" s="28"/>
      <c r="FTK216" s="28"/>
      <c r="FTL216" s="28"/>
      <c r="FTM216" s="28"/>
      <c r="FTN216" s="28"/>
      <c r="FTO216" s="28"/>
      <c r="FTP216" s="28"/>
      <c r="FTQ216" s="28"/>
      <c r="FTR216" s="28"/>
      <c r="FTS216" s="28"/>
      <c r="FTT216" s="28"/>
      <c r="FTU216" s="28"/>
      <c r="FTV216" s="28"/>
      <c r="FTW216" s="28"/>
      <c r="FTX216" s="28"/>
      <c r="FTY216" s="28"/>
      <c r="FTZ216" s="28"/>
      <c r="FUA216" s="28"/>
      <c r="FUB216" s="28"/>
      <c r="FUC216" s="28"/>
      <c r="FUD216" s="28"/>
      <c r="FUE216" s="28"/>
      <c r="FUF216" s="28"/>
      <c r="FUG216" s="28"/>
      <c r="FUH216" s="28"/>
      <c r="FUI216" s="28"/>
      <c r="FUJ216" s="28"/>
      <c r="FUK216" s="28"/>
      <c r="FUL216" s="28"/>
      <c r="FUM216" s="28"/>
      <c r="FUN216" s="28"/>
      <c r="FUO216" s="28"/>
      <c r="FUP216" s="28"/>
      <c r="FUQ216" s="28"/>
      <c r="FUR216" s="28"/>
      <c r="FUS216" s="28"/>
      <c r="FUT216" s="28"/>
      <c r="FUU216" s="28"/>
      <c r="FUV216" s="28"/>
      <c r="FUW216" s="28"/>
      <c r="FUX216" s="28"/>
      <c r="FUY216" s="28"/>
      <c r="FUZ216" s="28"/>
      <c r="FVA216" s="28"/>
      <c r="FVB216" s="28"/>
      <c r="FVC216" s="28"/>
      <c r="FVD216" s="28"/>
      <c r="FVE216" s="28"/>
      <c r="FVF216" s="28"/>
      <c r="FVG216" s="28"/>
      <c r="FVH216" s="28"/>
      <c r="FVI216" s="28"/>
      <c r="FVJ216" s="28"/>
      <c r="FVK216" s="28"/>
      <c r="FVL216" s="28"/>
      <c r="FVM216" s="28"/>
      <c r="FVN216" s="28"/>
      <c r="FVO216" s="28"/>
      <c r="FVP216" s="28"/>
      <c r="FVQ216" s="28"/>
      <c r="FVR216" s="28"/>
      <c r="FVS216" s="28"/>
      <c r="FVT216" s="28"/>
      <c r="FVU216" s="28"/>
      <c r="FVV216" s="28"/>
      <c r="FVW216" s="28"/>
      <c r="FVX216" s="28"/>
      <c r="FVY216" s="28"/>
      <c r="FVZ216" s="28"/>
      <c r="FWA216" s="28"/>
      <c r="FWB216" s="28"/>
      <c r="FWC216" s="28"/>
      <c r="FWD216" s="28"/>
      <c r="FWE216" s="28"/>
      <c r="FWF216" s="28"/>
      <c r="FWG216" s="28"/>
      <c r="FWH216" s="28"/>
      <c r="FWI216" s="28"/>
      <c r="FWJ216" s="28"/>
      <c r="FWK216" s="28"/>
      <c r="FWL216" s="28"/>
      <c r="FWM216" s="28"/>
      <c r="FWN216" s="28"/>
      <c r="FWO216" s="28"/>
      <c r="FWP216" s="28"/>
      <c r="FWQ216" s="28"/>
      <c r="FWR216" s="28"/>
      <c r="FWS216" s="28"/>
      <c r="FWT216" s="28"/>
      <c r="FWU216" s="28"/>
      <c r="FWV216" s="28"/>
      <c r="FWW216" s="28"/>
      <c r="FWX216" s="28"/>
      <c r="FWY216" s="28"/>
      <c r="FWZ216" s="28"/>
      <c r="FXA216" s="28"/>
      <c r="FXB216" s="28"/>
      <c r="FXC216" s="28"/>
      <c r="FXD216" s="28"/>
      <c r="FXE216" s="28"/>
      <c r="FXF216" s="28"/>
      <c r="FXG216" s="28"/>
      <c r="FXH216" s="28"/>
      <c r="FXI216" s="28"/>
      <c r="FXJ216" s="28"/>
      <c r="FXK216" s="28"/>
      <c r="FXL216" s="28"/>
      <c r="FXM216" s="28"/>
      <c r="FXN216" s="28"/>
      <c r="FXO216" s="28"/>
      <c r="FXP216" s="28"/>
      <c r="FXQ216" s="28"/>
      <c r="FXR216" s="28"/>
      <c r="FXS216" s="28"/>
      <c r="FXT216" s="28"/>
      <c r="FXU216" s="28"/>
      <c r="FXV216" s="28"/>
      <c r="FXW216" s="28"/>
      <c r="FXX216" s="28"/>
      <c r="FXY216" s="28"/>
      <c r="FXZ216" s="28"/>
      <c r="FYA216" s="28"/>
      <c r="FYB216" s="28"/>
      <c r="FYC216" s="28"/>
      <c r="FYD216" s="28"/>
      <c r="FYE216" s="28"/>
      <c r="FYF216" s="28"/>
      <c r="FYG216" s="28"/>
      <c r="FYH216" s="28"/>
      <c r="FYI216" s="28"/>
      <c r="FYJ216" s="28"/>
      <c r="FYK216" s="28"/>
      <c r="FYL216" s="28"/>
      <c r="FYM216" s="28"/>
      <c r="FYN216" s="28"/>
      <c r="FYO216" s="28"/>
      <c r="FYP216" s="28"/>
      <c r="FYQ216" s="28"/>
      <c r="FYR216" s="28"/>
      <c r="FYS216" s="28"/>
      <c r="FYT216" s="28"/>
      <c r="FYU216" s="28"/>
      <c r="FYV216" s="28"/>
      <c r="FYW216" s="28"/>
      <c r="FYX216" s="28"/>
      <c r="FYY216" s="28"/>
      <c r="FYZ216" s="28"/>
      <c r="FZA216" s="28"/>
      <c r="FZB216" s="28"/>
      <c r="FZC216" s="28"/>
      <c r="FZD216" s="28"/>
      <c r="FZE216" s="28"/>
      <c r="FZF216" s="28"/>
      <c r="FZG216" s="28"/>
      <c r="FZH216" s="28"/>
      <c r="FZI216" s="28"/>
      <c r="FZJ216" s="28"/>
      <c r="FZK216" s="28"/>
      <c r="FZL216" s="28"/>
      <c r="FZM216" s="28"/>
      <c r="FZN216" s="28"/>
      <c r="FZO216" s="28"/>
      <c r="FZP216" s="28"/>
      <c r="FZQ216" s="28"/>
      <c r="FZR216" s="28"/>
      <c r="FZS216" s="28"/>
      <c r="FZT216" s="28"/>
      <c r="FZU216" s="28"/>
      <c r="FZV216" s="28"/>
      <c r="FZW216" s="28"/>
      <c r="FZX216" s="28"/>
      <c r="FZY216" s="28"/>
      <c r="FZZ216" s="28"/>
      <c r="GAA216" s="28"/>
      <c r="GAB216" s="28"/>
      <c r="GAC216" s="28"/>
      <c r="GAD216" s="28"/>
      <c r="GAE216" s="28"/>
      <c r="GAF216" s="28"/>
      <c r="GAG216" s="28"/>
      <c r="GAH216" s="28"/>
      <c r="GAI216" s="28"/>
      <c r="GAJ216" s="28"/>
      <c r="GAK216" s="28"/>
      <c r="GAL216" s="28"/>
      <c r="GAM216" s="28"/>
      <c r="GAN216" s="28"/>
      <c r="GAO216" s="28"/>
      <c r="GAP216" s="28"/>
      <c r="GAQ216" s="28"/>
      <c r="GAR216" s="28"/>
      <c r="GAS216" s="28"/>
      <c r="GAT216" s="28"/>
      <c r="GAU216" s="28"/>
      <c r="GAV216" s="28"/>
      <c r="GAW216" s="28"/>
      <c r="GAX216" s="28"/>
      <c r="GAY216" s="28"/>
      <c r="GAZ216" s="28"/>
      <c r="GBA216" s="28"/>
      <c r="GBB216" s="28"/>
      <c r="GBC216" s="28"/>
      <c r="GBD216" s="28"/>
      <c r="GBE216" s="28"/>
      <c r="GBF216" s="28"/>
      <c r="GBG216" s="28"/>
      <c r="GBH216" s="28"/>
      <c r="GBI216" s="28"/>
      <c r="GBJ216" s="28"/>
      <c r="GBK216" s="28"/>
      <c r="GBL216" s="28"/>
      <c r="GBM216" s="28"/>
      <c r="GBN216" s="28"/>
      <c r="GBO216" s="28"/>
      <c r="GBP216" s="28"/>
      <c r="GBQ216" s="28"/>
      <c r="GBR216" s="28"/>
      <c r="GBS216" s="28"/>
      <c r="GBT216" s="28"/>
      <c r="GBU216" s="28"/>
      <c r="GBV216" s="28"/>
      <c r="GBW216" s="28"/>
      <c r="GBX216" s="28"/>
      <c r="GBY216" s="28"/>
      <c r="GBZ216" s="28"/>
      <c r="GCA216" s="28"/>
      <c r="GCB216" s="28"/>
      <c r="GCC216" s="28"/>
      <c r="GCD216" s="28"/>
      <c r="GCE216" s="28"/>
      <c r="GCF216" s="28"/>
      <c r="GCG216" s="28"/>
      <c r="GCH216" s="28"/>
      <c r="GCI216" s="28"/>
      <c r="GCJ216" s="28"/>
      <c r="GCK216" s="28"/>
      <c r="GCL216" s="28"/>
      <c r="GCM216" s="28"/>
      <c r="GCN216" s="28"/>
      <c r="GCO216" s="28"/>
      <c r="GCP216" s="28"/>
      <c r="GCQ216" s="28"/>
      <c r="GCR216" s="28"/>
      <c r="GCS216" s="28"/>
      <c r="GCT216" s="28"/>
      <c r="GCU216" s="28"/>
      <c r="GCV216" s="28"/>
      <c r="GCW216" s="28"/>
      <c r="GCX216" s="28"/>
      <c r="GCY216" s="28"/>
      <c r="GCZ216" s="28"/>
      <c r="GDA216" s="28"/>
      <c r="GDB216" s="28"/>
      <c r="GDC216" s="28"/>
      <c r="GDD216" s="28"/>
      <c r="GDE216" s="28"/>
      <c r="GDF216" s="28"/>
      <c r="GDG216" s="28"/>
      <c r="GDH216" s="28"/>
      <c r="GDI216" s="28"/>
      <c r="GDJ216" s="28"/>
      <c r="GDK216" s="28"/>
      <c r="GDL216" s="28"/>
      <c r="GDM216" s="28"/>
      <c r="GDN216" s="28"/>
      <c r="GDO216" s="28"/>
      <c r="GDP216" s="28"/>
      <c r="GDQ216" s="28"/>
      <c r="GDR216" s="28"/>
      <c r="GDS216" s="28"/>
      <c r="GDT216" s="28"/>
      <c r="GDU216" s="28"/>
      <c r="GDV216" s="28"/>
      <c r="GDW216" s="28"/>
      <c r="GDX216" s="28"/>
      <c r="GDY216" s="28"/>
      <c r="GDZ216" s="28"/>
      <c r="GEA216" s="28"/>
      <c r="GEB216" s="28"/>
      <c r="GEC216" s="28"/>
      <c r="GED216" s="28"/>
      <c r="GEE216" s="28"/>
      <c r="GEF216" s="28"/>
      <c r="GEG216" s="28"/>
      <c r="GEH216" s="28"/>
      <c r="GEI216" s="28"/>
      <c r="GEJ216" s="28"/>
      <c r="GEK216" s="28"/>
      <c r="GEL216" s="28"/>
      <c r="GEM216" s="28"/>
      <c r="GEN216" s="28"/>
      <c r="GEO216" s="28"/>
      <c r="GEP216" s="28"/>
      <c r="GEQ216" s="28"/>
      <c r="GER216" s="28"/>
      <c r="GES216" s="28"/>
      <c r="GET216" s="28"/>
      <c r="GEU216" s="28"/>
      <c r="GEV216" s="28"/>
      <c r="GEW216" s="28"/>
      <c r="GEX216" s="28"/>
      <c r="GEY216" s="28"/>
      <c r="GEZ216" s="28"/>
      <c r="GFA216" s="28"/>
      <c r="GFB216" s="28"/>
      <c r="GFC216" s="28"/>
      <c r="GFD216" s="28"/>
      <c r="GFE216" s="28"/>
      <c r="GFF216" s="28"/>
      <c r="GFG216" s="28"/>
      <c r="GFH216" s="28"/>
      <c r="GFI216" s="28"/>
      <c r="GFJ216" s="28"/>
      <c r="GFK216" s="28"/>
      <c r="GFL216" s="28"/>
      <c r="GFM216" s="28"/>
      <c r="GFN216" s="28"/>
      <c r="GFO216" s="28"/>
      <c r="GFP216" s="28"/>
      <c r="GFQ216" s="28"/>
      <c r="GFR216" s="28"/>
      <c r="GFS216" s="28"/>
      <c r="GFT216" s="28"/>
      <c r="GFU216" s="28"/>
      <c r="GFV216" s="28"/>
      <c r="GFW216" s="28"/>
      <c r="GFX216" s="28"/>
      <c r="GFY216" s="28"/>
      <c r="GFZ216" s="28"/>
      <c r="GGA216" s="28"/>
      <c r="GGB216" s="28"/>
      <c r="GGC216" s="28"/>
      <c r="GGD216" s="28"/>
      <c r="GGE216" s="28"/>
      <c r="GGF216" s="28"/>
      <c r="GGG216" s="28"/>
      <c r="GGH216" s="28"/>
      <c r="GGI216" s="28"/>
      <c r="GGJ216" s="28"/>
      <c r="GGK216" s="28"/>
      <c r="GGL216" s="28"/>
      <c r="GGM216" s="28"/>
      <c r="GGN216" s="28"/>
      <c r="GGO216" s="28"/>
      <c r="GGP216" s="28"/>
      <c r="GGQ216" s="28"/>
      <c r="GGR216" s="28"/>
      <c r="GGS216" s="28"/>
      <c r="GGT216" s="28"/>
      <c r="GGU216" s="28"/>
      <c r="GGV216" s="28"/>
      <c r="GGW216" s="28"/>
      <c r="GGX216" s="28"/>
      <c r="GGY216" s="28"/>
      <c r="GGZ216" s="28"/>
      <c r="GHA216" s="28"/>
      <c r="GHB216" s="28"/>
      <c r="GHC216" s="28"/>
      <c r="GHD216" s="28"/>
      <c r="GHE216" s="28"/>
      <c r="GHF216" s="28"/>
      <c r="GHG216" s="28"/>
      <c r="GHH216" s="28"/>
      <c r="GHI216" s="28"/>
      <c r="GHJ216" s="28"/>
      <c r="GHK216" s="28"/>
      <c r="GHL216" s="28"/>
      <c r="GHM216" s="28"/>
      <c r="GHN216" s="28"/>
      <c r="GHO216" s="28"/>
      <c r="GHP216" s="28"/>
      <c r="GHQ216" s="28"/>
      <c r="GHR216" s="28"/>
      <c r="GHS216" s="28"/>
      <c r="GHT216" s="28"/>
      <c r="GHU216" s="28"/>
      <c r="GHV216" s="28"/>
      <c r="GHW216" s="28"/>
      <c r="GHX216" s="28"/>
      <c r="GHY216" s="28"/>
      <c r="GHZ216" s="28"/>
      <c r="GIA216" s="28"/>
      <c r="GIB216" s="28"/>
      <c r="GIC216" s="28"/>
      <c r="GID216" s="28"/>
      <c r="GIE216" s="28"/>
      <c r="GIF216" s="28"/>
      <c r="GIG216" s="28"/>
      <c r="GIH216" s="28"/>
      <c r="GII216" s="28"/>
      <c r="GIJ216" s="28"/>
      <c r="GIK216" s="28"/>
      <c r="GIL216" s="28"/>
      <c r="GIM216" s="28"/>
      <c r="GIN216" s="28"/>
      <c r="GIO216" s="28"/>
      <c r="GIP216" s="28"/>
      <c r="GIQ216" s="28"/>
      <c r="GIR216" s="28"/>
      <c r="GIS216" s="28"/>
      <c r="GIT216" s="28"/>
      <c r="GIU216" s="28"/>
      <c r="GIV216" s="28"/>
      <c r="GIW216" s="28"/>
      <c r="GIX216" s="28"/>
      <c r="GIY216" s="28"/>
      <c r="GIZ216" s="28"/>
      <c r="GJA216" s="28"/>
      <c r="GJB216" s="28"/>
      <c r="GJC216" s="28"/>
      <c r="GJD216" s="28"/>
      <c r="GJE216" s="28"/>
      <c r="GJF216" s="28"/>
      <c r="GJG216" s="28"/>
      <c r="GJH216" s="28"/>
      <c r="GJI216" s="28"/>
      <c r="GJJ216" s="28"/>
      <c r="GJK216" s="28"/>
      <c r="GJL216" s="28"/>
      <c r="GJM216" s="28"/>
      <c r="GJN216" s="28"/>
      <c r="GJO216" s="28"/>
      <c r="GJP216" s="28"/>
      <c r="GJQ216" s="28"/>
      <c r="GJR216" s="28"/>
      <c r="GJS216" s="28"/>
      <c r="GJT216" s="28"/>
      <c r="GJU216" s="28"/>
      <c r="GJV216" s="28"/>
      <c r="GJW216" s="28"/>
      <c r="GJX216" s="28"/>
      <c r="GJY216" s="28"/>
      <c r="GJZ216" s="28"/>
      <c r="GKA216" s="28"/>
      <c r="GKB216" s="28"/>
      <c r="GKC216" s="28"/>
      <c r="GKD216" s="28"/>
      <c r="GKE216" s="28"/>
      <c r="GKF216" s="28"/>
      <c r="GKG216" s="28"/>
      <c r="GKH216" s="28"/>
      <c r="GKI216" s="28"/>
      <c r="GKJ216" s="28"/>
      <c r="GKK216" s="28"/>
      <c r="GKL216" s="28"/>
      <c r="GKM216" s="28"/>
      <c r="GKN216" s="28"/>
      <c r="GKO216" s="28"/>
      <c r="GKP216" s="28"/>
      <c r="GKQ216" s="28"/>
      <c r="GKR216" s="28"/>
      <c r="GKS216" s="28"/>
      <c r="GKT216" s="28"/>
      <c r="GKU216" s="28"/>
      <c r="GKV216" s="28"/>
      <c r="GKW216" s="28"/>
      <c r="GKX216" s="28"/>
      <c r="GKY216" s="28"/>
      <c r="GKZ216" s="28"/>
      <c r="GLA216" s="28"/>
      <c r="GLB216" s="28"/>
      <c r="GLC216" s="28"/>
      <c r="GLD216" s="28"/>
      <c r="GLE216" s="28"/>
      <c r="GLF216" s="28"/>
      <c r="GLG216" s="28"/>
      <c r="GLH216" s="28"/>
      <c r="GLI216" s="28"/>
      <c r="GLJ216" s="28"/>
      <c r="GLK216" s="28"/>
    </row>
    <row r="217" spans="1:5055" s="28" customFormat="1">
      <c r="A217" s="78">
        <v>214</v>
      </c>
      <c r="B217" s="81" t="s">
        <v>161</v>
      </c>
      <c r="C217" s="3">
        <v>66.5</v>
      </c>
      <c r="D217" s="31" t="s">
        <v>178</v>
      </c>
      <c r="E217" s="7">
        <v>46182</v>
      </c>
      <c r="F217" s="4" t="s">
        <v>297</v>
      </c>
      <c r="G217" s="4" t="s">
        <v>296</v>
      </c>
      <c r="H217" s="4" t="s">
        <v>231</v>
      </c>
      <c r="I217" s="5">
        <v>9318</v>
      </c>
      <c r="J217" s="36" t="s">
        <v>95</v>
      </c>
      <c r="K217" s="2">
        <v>5180</v>
      </c>
      <c r="L217" s="2">
        <f>K217*0.95</f>
        <v>4921</v>
      </c>
      <c r="M217" s="2">
        <f>L217-K217</f>
        <v>-259</v>
      </c>
      <c r="N217" s="22">
        <f>+L217/K217</f>
        <v>0.95</v>
      </c>
      <c r="O217" s="56">
        <f>E217+P217+1+3+17</f>
        <v>46221.394383441329</v>
      </c>
      <c r="P217" s="39">
        <f>L217/Q217</f>
        <v>18.394383441327648</v>
      </c>
      <c r="Q217" s="27">
        <f t="shared" ref="Q217" si="350">640*40/84*0.96*0.9144</f>
        <v>267.52731428571428</v>
      </c>
      <c r="R217"/>
      <c r="S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  <c r="ZS217"/>
      <c r="ZT217"/>
      <c r="ZU217"/>
      <c r="ZV217"/>
      <c r="ZW217"/>
      <c r="ZX217"/>
      <c r="ZY217"/>
      <c r="ZZ217"/>
      <c r="AAA217"/>
      <c r="AAB217"/>
      <c r="AAC217"/>
      <c r="AAD217"/>
      <c r="AAE217"/>
      <c r="AAF217"/>
      <c r="AAG217"/>
      <c r="AAH217"/>
      <c r="AAI217"/>
      <c r="AAJ217"/>
      <c r="AAK217"/>
      <c r="AAL217"/>
      <c r="AAM217"/>
      <c r="AAN217"/>
      <c r="AAO217"/>
      <c r="AAP217"/>
      <c r="AAQ217"/>
      <c r="AAR217"/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/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/>
      <c r="ABT217"/>
      <c r="ABU217"/>
      <c r="ABV217"/>
      <c r="ABW217"/>
      <c r="ABX217"/>
      <c r="ABY217"/>
      <c r="ABZ217"/>
      <c r="ACA217"/>
      <c r="ACB217"/>
      <c r="ACC217"/>
      <c r="ACD217"/>
      <c r="ACE217"/>
      <c r="ACF217"/>
      <c r="ACG217"/>
      <c r="ACH217"/>
      <c r="ACI217"/>
      <c r="ACJ217"/>
      <c r="ACK217"/>
      <c r="ACL217"/>
      <c r="ACM217"/>
      <c r="ACN217"/>
      <c r="ACO217"/>
      <c r="ACP217"/>
      <c r="ACQ217"/>
      <c r="ACR217"/>
      <c r="ACS217"/>
      <c r="ACT217"/>
      <c r="ACU217"/>
      <c r="ACV217"/>
      <c r="ACW217"/>
      <c r="ACX217"/>
      <c r="ACY217"/>
      <c r="ACZ217"/>
      <c r="ADA217"/>
      <c r="ADB217"/>
      <c r="ADC217"/>
      <c r="ADD217"/>
      <c r="ADE217"/>
      <c r="ADF217"/>
      <c r="ADG217"/>
      <c r="ADH217"/>
      <c r="ADI217"/>
      <c r="ADJ217"/>
      <c r="ADK217"/>
      <c r="ADL217"/>
      <c r="ADM217"/>
      <c r="ADN217"/>
      <c r="ADO217"/>
      <c r="ADP217"/>
      <c r="ADQ217"/>
      <c r="ADR217"/>
      <c r="ADS217"/>
      <c r="ADT217"/>
      <c r="ADU217"/>
      <c r="ADV217"/>
      <c r="ADW217"/>
      <c r="ADX217"/>
      <c r="ADY217"/>
      <c r="ADZ217"/>
      <c r="AEA217"/>
      <c r="AEB217"/>
      <c r="AEC217"/>
      <c r="AED217"/>
      <c r="AEE217"/>
      <c r="AEF217"/>
      <c r="AEG217"/>
      <c r="AEH217"/>
      <c r="AEI217"/>
      <c r="AEJ217"/>
      <c r="AEK217"/>
      <c r="AEL217"/>
      <c r="AEM217"/>
      <c r="AEN217"/>
      <c r="AEO217"/>
      <c r="AEP217"/>
      <c r="AEQ217"/>
      <c r="AER217"/>
      <c r="AES217"/>
      <c r="AET217"/>
      <c r="AEU217"/>
      <c r="AEV217"/>
      <c r="AEW217"/>
      <c r="AEX217"/>
      <c r="AEY217"/>
      <c r="AEZ217"/>
      <c r="AFA217"/>
      <c r="AFB217"/>
      <c r="AFC217"/>
      <c r="AFD217"/>
      <c r="AFE217"/>
      <c r="AFF217"/>
      <c r="AFG217"/>
      <c r="AFH217"/>
      <c r="AFI217"/>
      <c r="AFJ217"/>
      <c r="AFK217"/>
      <c r="AFL217"/>
      <c r="AFM217"/>
      <c r="AFN217"/>
      <c r="AFO217"/>
      <c r="AFP217"/>
      <c r="AFQ217"/>
      <c r="AFR217"/>
      <c r="AFS217"/>
      <c r="AFT217"/>
      <c r="AFU217"/>
      <c r="AFV217"/>
      <c r="AFW217"/>
      <c r="AFX217"/>
      <c r="AFY217"/>
      <c r="AFZ217"/>
      <c r="AGA217"/>
      <c r="AGB217"/>
      <c r="AGC217"/>
      <c r="AGD217"/>
      <c r="AGE217"/>
      <c r="AGF217"/>
      <c r="AGG217"/>
      <c r="AGH217"/>
      <c r="AGI217"/>
      <c r="AGJ217"/>
      <c r="AGK217"/>
      <c r="AGL217"/>
      <c r="AGM217"/>
      <c r="AGN217"/>
      <c r="AGO217"/>
      <c r="AGP217"/>
      <c r="AGQ217"/>
      <c r="AGR217"/>
      <c r="AGS217"/>
      <c r="AGT217"/>
      <c r="AGU217"/>
      <c r="AGV217"/>
      <c r="AGW217"/>
      <c r="AGX217"/>
      <c r="AGY217"/>
      <c r="AGZ217"/>
      <c r="AHA217"/>
      <c r="AHB217"/>
      <c r="AHC217"/>
      <c r="AHD217"/>
      <c r="AHE217"/>
      <c r="AHF217"/>
      <c r="AHG217"/>
      <c r="AHH217"/>
      <c r="AHI217"/>
      <c r="AHJ217"/>
      <c r="AHK217"/>
      <c r="AHL217"/>
      <c r="AHM217"/>
      <c r="AHN217"/>
      <c r="AHO217"/>
      <c r="AHP217"/>
      <c r="AHQ217"/>
      <c r="AHR217"/>
      <c r="AHS217"/>
      <c r="AHT217"/>
      <c r="AHU217"/>
      <c r="AHV217"/>
      <c r="AHW217"/>
      <c r="AHX217"/>
      <c r="AHY217"/>
      <c r="AHZ217"/>
      <c r="AIA217"/>
      <c r="AIB217"/>
      <c r="AIC217"/>
      <c r="AID217"/>
      <c r="AIE217"/>
      <c r="AIF217"/>
      <c r="AIG217"/>
      <c r="AIH217"/>
      <c r="AII217"/>
      <c r="AIJ217"/>
      <c r="AIK217"/>
      <c r="AIL217"/>
      <c r="AIM217"/>
      <c r="AIN217"/>
      <c r="AIO217"/>
      <c r="AIP217"/>
      <c r="AIQ217"/>
      <c r="AIR217"/>
      <c r="AIS217"/>
      <c r="AIT217"/>
      <c r="AIU217"/>
      <c r="AIV217"/>
      <c r="AIW217"/>
      <c r="AIX217"/>
      <c r="AIY217"/>
      <c r="AIZ217"/>
      <c r="AJA217"/>
      <c r="AJB217"/>
      <c r="AJC217"/>
      <c r="AJD217"/>
      <c r="AJE217"/>
      <c r="AJF217"/>
      <c r="AJG217"/>
      <c r="AJH217"/>
      <c r="AJI217"/>
      <c r="AJJ217"/>
      <c r="AJK217"/>
      <c r="AJL217"/>
      <c r="AJM217"/>
      <c r="AJN217"/>
      <c r="AJO217"/>
      <c r="AJP217"/>
      <c r="AJQ217"/>
      <c r="AJR217"/>
      <c r="AJS217"/>
      <c r="AJT217"/>
      <c r="AJU217"/>
      <c r="AJV217"/>
      <c r="AJW217"/>
      <c r="AJX217"/>
      <c r="AJY217"/>
      <c r="AJZ217"/>
      <c r="AKA217"/>
      <c r="AKB217"/>
      <c r="AKC217"/>
      <c r="AKD217"/>
      <c r="AKE217"/>
      <c r="AKF217"/>
      <c r="AKG217"/>
      <c r="AKH217"/>
      <c r="AKI217"/>
      <c r="AKJ217"/>
      <c r="AKK217"/>
      <c r="AKL217"/>
      <c r="AKM217"/>
      <c r="AKN217"/>
      <c r="AKO217"/>
      <c r="AKP217"/>
      <c r="AKQ217"/>
      <c r="AKR217"/>
      <c r="AKS217"/>
      <c r="AKT217"/>
      <c r="AKU217"/>
      <c r="AKV217"/>
      <c r="AKW217"/>
      <c r="AKX217"/>
      <c r="AKY217"/>
      <c r="AKZ217"/>
      <c r="ALA217"/>
      <c r="ALB217"/>
      <c r="ALC217"/>
      <c r="ALD217"/>
      <c r="ALE217"/>
      <c r="ALF217"/>
      <c r="ALG217"/>
      <c r="ALH217"/>
      <c r="ALI217"/>
      <c r="ALJ217"/>
      <c r="ALK217"/>
      <c r="ALL217"/>
      <c r="ALM217"/>
      <c r="ALN217"/>
      <c r="ALO217"/>
      <c r="ALP217"/>
      <c r="ALQ217"/>
      <c r="ALR217"/>
      <c r="ALS217"/>
      <c r="ALT217"/>
      <c r="ALU217"/>
      <c r="ALV217"/>
      <c r="ALW217"/>
      <c r="ALX217"/>
      <c r="ALY217"/>
      <c r="ALZ217"/>
      <c r="AMA217"/>
      <c r="AMB217"/>
      <c r="AMC217"/>
      <c r="AMD217"/>
      <c r="AME217"/>
      <c r="AMF217"/>
      <c r="AMG217"/>
      <c r="AMH217"/>
      <c r="AMI217"/>
      <c r="AMJ217"/>
      <c r="AMK217"/>
      <c r="AML217"/>
      <c r="AMM217"/>
      <c r="AMN217"/>
      <c r="AMO217"/>
      <c r="AMP217"/>
      <c r="AMQ217"/>
      <c r="AMR217"/>
      <c r="AMS217"/>
      <c r="AMT217"/>
      <c r="AMU217"/>
      <c r="AMV217"/>
      <c r="AMW217"/>
      <c r="AMX217"/>
      <c r="AMY217"/>
      <c r="AMZ217"/>
      <c r="ANA217"/>
      <c r="ANB217"/>
      <c r="ANC217"/>
      <c r="AND217"/>
      <c r="ANE217"/>
      <c r="ANF217"/>
      <c r="ANG217"/>
      <c r="ANH217"/>
      <c r="ANI217"/>
      <c r="ANJ217"/>
      <c r="ANK217"/>
      <c r="ANL217"/>
      <c r="ANM217"/>
      <c r="ANN217"/>
      <c r="ANO217"/>
      <c r="ANP217"/>
      <c r="ANQ217"/>
      <c r="ANR217"/>
      <c r="ANS217"/>
      <c r="ANT217"/>
      <c r="ANU217"/>
      <c r="ANV217"/>
      <c r="ANW217"/>
      <c r="ANX217"/>
      <c r="ANY217"/>
      <c r="ANZ217"/>
      <c r="AOA217"/>
      <c r="AOB217"/>
      <c r="AOC217"/>
      <c r="AOD217"/>
      <c r="AOE217"/>
      <c r="AOF217"/>
      <c r="AOG217"/>
      <c r="AOH217"/>
      <c r="AOI217"/>
      <c r="AOJ217"/>
      <c r="AOK217"/>
      <c r="AOL217"/>
      <c r="AOM217"/>
      <c r="AON217"/>
      <c r="AOO217"/>
      <c r="AOP217"/>
      <c r="AOQ217"/>
      <c r="AOR217"/>
      <c r="AOS217"/>
      <c r="AOT217"/>
      <c r="AOU217"/>
      <c r="AOV217"/>
      <c r="AOW217"/>
      <c r="AOX217"/>
      <c r="AOY217"/>
      <c r="AOZ217"/>
      <c r="APA217"/>
      <c r="APB217"/>
      <c r="APC217"/>
      <c r="APD217"/>
      <c r="APE217"/>
      <c r="APF217"/>
      <c r="APG217"/>
      <c r="APH217"/>
      <c r="API217"/>
      <c r="APJ217"/>
      <c r="APK217"/>
      <c r="APL217"/>
      <c r="APM217"/>
      <c r="APN217"/>
      <c r="APO217"/>
      <c r="APP217"/>
      <c r="APQ217"/>
      <c r="APR217"/>
      <c r="APS217"/>
      <c r="APT217"/>
      <c r="APU217"/>
      <c r="APV217"/>
      <c r="APW217"/>
      <c r="APX217"/>
      <c r="APY217"/>
      <c r="APZ217"/>
      <c r="AQA217"/>
      <c r="AQB217"/>
      <c r="AQC217"/>
      <c r="AQD217"/>
      <c r="AQE217"/>
      <c r="AQF217"/>
      <c r="AQG217"/>
      <c r="AQH217"/>
      <c r="AQI217"/>
      <c r="AQJ217"/>
      <c r="AQK217"/>
      <c r="AQL217"/>
      <c r="AQM217"/>
      <c r="AQN217"/>
      <c r="AQO217"/>
      <c r="AQP217"/>
      <c r="AQQ217"/>
      <c r="AQR217"/>
      <c r="AQS217"/>
      <c r="AQT217"/>
      <c r="AQU217"/>
      <c r="AQV217"/>
      <c r="AQW217"/>
      <c r="AQX217"/>
      <c r="AQY217"/>
      <c r="AQZ217"/>
      <c r="ARA217"/>
      <c r="ARB217"/>
      <c r="ARC217"/>
      <c r="ARD217"/>
      <c r="ARE217"/>
      <c r="ARF217"/>
      <c r="ARG217"/>
      <c r="ARH217"/>
      <c r="ARI217"/>
      <c r="ARJ217"/>
      <c r="ARK217"/>
      <c r="ARL217"/>
      <c r="ARM217"/>
      <c r="ARN217"/>
      <c r="ARO217"/>
      <c r="ARP217"/>
      <c r="ARQ217"/>
      <c r="ARR217"/>
      <c r="ARS217"/>
      <c r="ART217"/>
      <c r="ARU217"/>
      <c r="ARV217"/>
      <c r="ARW217"/>
      <c r="ARX217"/>
      <c r="ARY217"/>
      <c r="ARZ217"/>
      <c r="ASA217"/>
      <c r="ASB217"/>
      <c r="ASC217"/>
      <c r="ASD217"/>
      <c r="ASE217"/>
      <c r="ASF217"/>
      <c r="ASG217"/>
      <c r="ASH217"/>
      <c r="ASI217"/>
      <c r="ASJ217"/>
      <c r="ASK217"/>
      <c r="ASL217"/>
      <c r="ASM217"/>
      <c r="ASN217"/>
      <c r="ASO217"/>
      <c r="ASP217"/>
      <c r="ASQ217"/>
      <c r="ASR217"/>
      <c r="ASS217"/>
      <c r="AST217"/>
      <c r="ASU217"/>
      <c r="ASV217"/>
      <c r="ASW217"/>
      <c r="ASX217"/>
      <c r="ASY217"/>
      <c r="ASZ217"/>
      <c r="ATA217"/>
      <c r="ATB217"/>
      <c r="ATC217"/>
      <c r="ATD217"/>
      <c r="ATE217"/>
      <c r="ATF217"/>
      <c r="ATG217"/>
      <c r="ATH217"/>
      <c r="ATI217"/>
      <c r="ATJ217"/>
      <c r="ATK217"/>
      <c r="ATL217"/>
      <c r="ATM217"/>
      <c r="ATN217"/>
      <c r="ATO217"/>
      <c r="ATP217"/>
      <c r="ATQ217"/>
      <c r="ATR217"/>
      <c r="ATS217"/>
      <c r="ATT217"/>
      <c r="ATU217"/>
      <c r="ATV217"/>
      <c r="ATW217"/>
      <c r="ATX217"/>
      <c r="ATY217"/>
      <c r="ATZ217"/>
      <c r="AUA217"/>
      <c r="AUB217"/>
      <c r="AUC217"/>
      <c r="AUD217"/>
      <c r="AUE217"/>
      <c r="AUF217"/>
      <c r="AUG217"/>
      <c r="AUH217"/>
      <c r="AUI217"/>
      <c r="AUJ217"/>
      <c r="AUK217"/>
      <c r="AUL217"/>
      <c r="AUM217"/>
      <c r="AUN217"/>
      <c r="AUO217"/>
      <c r="AUP217"/>
      <c r="AUQ217"/>
      <c r="AUR217"/>
      <c r="AUS217"/>
      <c r="AUT217"/>
      <c r="AUU217"/>
      <c r="AUV217"/>
      <c r="AUW217"/>
      <c r="AUX217"/>
      <c r="AUY217"/>
      <c r="AUZ217"/>
      <c r="AVA217"/>
      <c r="AVB217"/>
      <c r="AVC217"/>
      <c r="AVD217"/>
      <c r="AVE217"/>
      <c r="AVF217"/>
      <c r="AVG217"/>
      <c r="AVH217"/>
      <c r="AVI217"/>
      <c r="AVJ217"/>
      <c r="AVK217"/>
      <c r="AVL217"/>
      <c r="AVM217"/>
      <c r="AVN217"/>
      <c r="AVO217"/>
      <c r="AVP217"/>
      <c r="AVQ217"/>
      <c r="AVR217"/>
      <c r="AVS217"/>
      <c r="AVT217"/>
      <c r="AVU217"/>
      <c r="AVV217"/>
      <c r="AVW217"/>
      <c r="AVX217"/>
      <c r="AVY217"/>
      <c r="AVZ217"/>
      <c r="AWA217"/>
      <c r="AWB217"/>
      <c r="AWC217"/>
      <c r="AWD217"/>
      <c r="AWE217"/>
      <c r="AWF217"/>
      <c r="AWG217"/>
      <c r="AWH217"/>
      <c r="AWI217"/>
      <c r="AWJ217"/>
      <c r="AWK217"/>
      <c r="AWL217"/>
      <c r="AWM217"/>
      <c r="AWN217"/>
      <c r="AWO217"/>
      <c r="AWP217"/>
      <c r="AWQ217"/>
      <c r="AWR217"/>
      <c r="AWS217"/>
      <c r="AWT217"/>
      <c r="AWU217"/>
      <c r="AWV217"/>
      <c r="AWW217"/>
      <c r="AWX217"/>
      <c r="AWY217"/>
      <c r="AWZ217"/>
      <c r="AXA217"/>
      <c r="AXB217"/>
      <c r="AXC217"/>
      <c r="AXD217"/>
      <c r="AXE217"/>
      <c r="AXF217"/>
      <c r="AXG217"/>
      <c r="AXH217"/>
      <c r="AXI217"/>
      <c r="AXJ217"/>
      <c r="AXK217"/>
      <c r="AXL217"/>
      <c r="AXM217"/>
      <c r="AXN217"/>
      <c r="AXO217"/>
      <c r="AXP217"/>
      <c r="AXQ217"/>
      <c r="AXR217"/>
      <c r="AXS217"/>
      <c r="AXT217"/>
      <c r="AXU217"/>
      <c r="AXV217"/>
      <c r="AXW217"/>
      <c r="AXX217"/>
      <c r="AXY217"/>
      <c r="AXZ217"/>
      <c r="AYA217"/>
      <c r="AYB217"/>
      <c r="AYC217"/>
      <c r="AYD217"/>
      <c r="AYE217"/>
      <c r="AYF217"/>
      <c r="AYG217"/>
      <c r="AYH217"/>
      <c r="AYI217"/>
      <c r="AYJ217"/>
      <c r="AYK217"/>
      <c r="AYL217"/>
      <c r="AYM217"/>
      <c r="AYN217"/>
      <c r="AYO217"/>
      <c r="AYP217"/>
      <c r="AYQ217"/>
      <c r="AYR217"/>
      <c r="AYS217"/>
      <c r="AYT217"/>
      <c r="AYU217"/>
      <c r="AYV217"/>
      <c r="AYW217"/>
      <c r="AYX217"/>
      <c r="AYY217"/>
      <c r="AYZ217"/>
      <c r="AZA217"/>
      <c r="AZB217"/>
      <c r="AZC217"/>
      <c r="AZD217"/>
      <c r="AZE217"/>
      <c r="AZF217"/>
      <c r="AZG217"/>
      <c r="AZH217"/>
      <c r="AZI217"/>
      <c r="AZJ217"/>
      <c r="AZK217"/>
      <c r="AZL217"/>
      <c r="AZM217"/>
      <c r="AZN217"/>
      <c r="AZO217"/>
      <c r="AZP217"/>
      <c r="AZQ217"/>
      <c r="AZR217"/>
      <c r="AZS217"/>
      <c r="AZT217"/>
      <c r="AZU217"/>
      <c r="AZV217"/>
      <c r="AZW217"/>
      <c r="AZX217"/>
      <c r="AZY217"/>
      <c r="AZZ217"/>
      <c r="BAA217"/>
      <c r="BAB217"/>
      <c r="BAC217"/>
      <c r="BAD217"/>
      <c r="BAE217"/>
      <c r="BAF217"/>
      <c r="BAG217"/>
      <c r="BAH217"/>
      <c r="BAI217"/>
      <c r="BAJ217"/>
      <c r="BAK217"/>
      <c r="BAL217"/>
      <c r="BAM217"/>
      <c r="BAN217"/>
      <c r="BAO217"/>
      <c r="BAP217"/>
      <c r="BAQ217"/>
      <c r="BAR217"/>
      <c r="BAS217"/>
      <c r="BAT217"/>
      <c r="BAU217"/>
      <c r="BAV217"/>
      <c r="BAW217"/>
      <c r="BAX217"/>
      <c r="BAY217"/>
      <c r="BAZ217"/>
      <c r="BBA217"/>
      <c r="BBB217"/>
      <c r="BBC217"/>
      <c r="BBD217"/>
      <c r="BBE217"/>
      <c r="BBF217"/>
      <c r="BBG217"/>
      <c r="BBH217"/>
      <c r="BBI217"/>
      <c r="BBJ217"/>
      <c r="BBK217"/>
      <c r="BBL217"/>
      <c r="BBM217"/>
      <c r="BBN217"/>
      <c r="BBO217"/>
      <c r="BBP217"/>
      <c r="BBQ217"/>
      <c r="BBR217"/>
      <c r="BBS217"/>
      <c r="BBT217"/>
      <c r="BBU217"/>
      <c r="BBV217"/>
      <c r="BBW217"/>
      <c r="BBX217"/>
      <c r="BBY217"/>
      <c r="BBZ217"/>
      <c r="BCA217"/>
      <c r="BCB217"/>
      <c r="BCC217"/>
      <c r="BCD217"/>
      <c r="BCE217"/>
      <c r="BCF217"/>
      <c r="BCG217"/>
      <c r="BCH217"/>
      <c r="BCI217"/>
      <c r="BCJ217"/>
      <c r="BCK217"/>
      <c r="BCL217"/>
      <c r="BCM217"/>
      <c r="BCN217"/>
      <c r="BCO217"/>
      <c r="BCP217"/>
      <c r="BCQ217"/>
      <c r="BCR217"/>
      <c r="BCS217"/>
      <c r="BCT217"/>
      <c r="BCU217"/>
      <c r="BCV217"/>
      <c r="BCW217"/>
      <c r="BCX217"/>
      <c r="BCY217"/>
      <c r="BCZ217"/>
      <c r="BDA217"/>
      <c r="BDB217"/>
      <c r="BDC217"/>
      <c r="BDD217"/>
      <c r="BDE217"/>
      <c r="BDF217"/>
      <c r="BDG217"/>
      <c r="BDH217"/>
      <c r="BDI217"/>
      <c r="BDJ217"/>
      <c r="BDK217"/>
      <c r="BDL217"/>
      <c r="BDM217"/>
      <c r="BDN217"/>
      <c r="BDO217"/>
      <c r="BDP217"/>
      <c r="BDQ217"/>
      <c r="BDR217"/>
      <c r="BDS217"/>
      <c r="BDT217"/>
      <c r="BDU217"/>
      <c r="BDV217"/>
      <c r="BDW217"/>
      <c r="BDX217"/>
      <c r="BDY217"/>
      <c r="BDZ217"/>
      <c r="BEA217"/>
      <c r="BEB217"/>
      <c r="BEC217"/>
      <c r="BED217"/>
      <c r="BEE217"/>
      <c r="BEF217"/>
      <c r="BEG217"/>
      <c r="BEH217"/>
      <c r="BEI217"/>
      <c r="BEJ217"/>
      <c r="BEK217"/>
      <c r="BEL217"/>
      <c r="BEM217"/>
      <c r="BEN217"/>
      <c r="BEO217"/>
      <c r="BEP217"/>
      <c r="BEQ217"/>
      <c r="BER217"/>
      <c r="BES217"/>
      <c r="BET217"/>
      <c r="BEU217"/>
      <c r="BEV217"/>
      <c r="BEW217"/>
      <c r="BEX217"/>
      <c r="BEY217"/>
      <c r="BEZ217"/>
      <c r="BFA217"/>
      <c r="BFB217"/>
      <c r="BFC217"/>
      <c r="BFD217"/>
      <c r="BFE217"/>
      <c r="BFF217"/>
      <c r="BFG217"/>
      <c r="BFH217"/>
      <c r="BFI217"/>
      <c r="BFJ217"/>
      <c r="BFK217"/>
      <c r="BFL217"/>
      <c r="BFM217"/>
      <c r="BFN217"/>
      <c r="BFO217"/>
      <c r="BFP217"/>
      <c r="BFQ217"/>
      <c r="BFR217"/>
      <c r="BFS217"/>
      <c r="BFT217"/>
      <c r="BFU217"/>
      <c r="BFV217"/>
      <c r="BFW217"/>
      <c r="BFX217"/>
      <c r="BFY217"/>
      <c r="BFZ217"/>
      <c r="BGA217"/>
      <c r="BGB217"/>
      <c r="BGC217"/>
      <c r="BGD217"/>
      <c r="BGE217"/>
      <c r="BGF217"/>
      <c r="BGG217"/>
      <c r="BGH217"/>
      <c r="BGI217"/>
      <c r="BGJ217"/>
      <c r="BGK217"/>
      <c r="BGL217"/>
      <c r="BGM217"/>
      <c r="BGN217"/>
      <c r="BGO217"/>
      <c r="BGP217"/>
      <c r="BGQ217"/>
      <c r="BGR217"/>
      <c r="BGS217"/>
      <c r="BGT217"/>
      <c r="BGU217"/>
      <c r="BGV217"/>
      <c r="BGW217"/>
      <c r="BGX217"/>
      <c r="BGY217"/>
      <c r="BGZ217"/>
      <c r="BHA217"/>
      <c r="BHB217"/>
      <c r="BHC217"/>
      <c r="BHD217"/>
      <c r="BHE217"/>
      <c r="BHF217"/>
      <c r="BHG217"/>
      <c r="BHH217"/>
      <c r="BHI217"/>
      <c r="BHJ217"/>
      <c r="BHK217"/>
      <c r="BHL217"/>
      <c r="BHM217"/>
      <c r="BHN217"/>
      <c r="BHO217"/>
      <c r="BHP217"/>
      <c r="BHQ217"/>
      <c r="BHR217"/>
      <c r="BHS217"/>
      <c r="BHT217"/>
      <c r="BHU217"/>
      <c r="BHV217"/>
      <c r="BHW217"/>
      <c r="BHX217"/>
      <c r="BHY217"/>
      <c r="BHZ217"/>
      <c r="BIA217"/>
      <c r="BIB217"/>
      <c r="BIC217"/>
      <c r="BID217"/>
      <c r="BIE217"/>
      <c r="BIF217"/>
      <c r="BIG217"/>
      <c r="BIH217"/>
      <c r="BII217"/>
      <c r="BIJ217"/>
      <c r="BIK217"/>
      <c r="BIL217"/>
      <c r="BIM217"/>
      <c r="BIN217"/>
      <c r="BIO217"/>
      <c r="BIP217"/>
      <c r="BIQ217"/>
      <c r="BIR217"/>
      <c r="BIS217"/>
      <c r="BIT217"/>
      <c r="BIU217"/>
      <c r="BIV217"/>
      <c r="BIW217"/>
      <c r="BIX217"/>
      <c r="BIY217"/>
      <c r="BIZ217"/>
      <c r="BJA217"/>
      <c r="BJB217"/>
      <c r="BJC217"/>
      <c r="BJD217"/>
      <c r="BJE217"/>
      <c r="BJF217"/>
      <c r="BJG217"/>
      <c r="BJH217"/>
      <c r="BJI217"/>
      <c r="BJJ217"/>
      <c r="BJK217"/>
      <c r="BJL217"/>
      <c r="BJM217"/>
      <c r="BJN217"/>
      <c r="BJO217"/>
      <c r="BJP217"/>
      <c r="BJQ217"/>
      <c r="BJR217"/>
      <c r="BJS217"/>
      <c r="BJT217"/>
      <c r="BJU217"/>
      <c r="BJV217"/>
      <c r="BJW217"/>
      <c r="BJX217"/>
      <c r="BJY217"/>
      <c r="BJZ217"/>
      <c r="BKA217"/>
      <c r="BKB217"/>
      <c r="BKC217"/>
      <c r="BKD217"/>
      <c r="BKE217"/>
      <c r="BKF217"/>
      <c r="BKG217"/>
      <c r="BKH217"/>
      <c r="BKI217"/>
      <c r="BKJ217"/>
      <c r="BKK217"/>
      <c r="BKL217"/>
      <c r="BKM217"/>
      <c r="BKN217"/>
      <c r="BKO217"/>
      <c r="BKP217"/>
      <c r="BKQ217"/>
      <c r="BKR217"/>
      <c r="BKS217"/>
      <c r="BKT217"/>
      <c r="BKU217"/>
      <c r="BKV217"/>
      <c r="BKW217"/>
      <c r="BKX217"/>
      <c r="BKY217"/>
      <c r="BKZ217"/>
      <c r="BLA217"/>
      <c r="BLB217"/>
      <c r="BLC217"/>
      <c r="BLD217"/>
      <c r="BLE217"/>
      <c r="BLF217"/>
      <c r="BLG217"/>
      <c r="BLH217"/>
      <c r="BLI217"/>
      <c r="BLJ217"/>
      <c r="BLK217"/>
      <c r="BLL217"/>
      <c r="BLM217"/>
      <c r="BLN217"/>
      <c r="BLO217"/>
      <c r="BLP217"/>
      <c r="BLQ217"/>
      <c r="BLR217"/>
      <c r="BLS217"/>
      <c r="BLT217"/>
      <c r="BLU217"/>
      <c r="BLV217"/>
      <c r="BLW217"/>
      <c r="BLX217"/>
      <c r="BLY217"/>
      <c r="BLZ217"/>
      <c r="BMA217"/>
      <c r="BMB217"/>
      <c r="BMC217"/>
      <c r="BMD217"/>
      <c r="BME217"/>
      <c r="BMF217"/>
      <c r="BMG217"/>
      <c r="BMH217"/>
      <c r="BMI217"/>
      <c r="BMJ217"/>
      <c r="BMK217"/>
      <c r="BML217"/>
      <c r="BMM217"/>
      <c r="BMN217"/>
      <c r="BMO217"/>
      <c r="BMP217"/>
      <c r="BMQ217"/>
      <c r="BMR217"/>
      <c r="BMS217"/>
      <c r="BMT217"/>
      <c r="BMU217"/>
      <c r="BMV217"/>
      <c r="BMW217"/>
      <c r="BMX217"/>
      <c r="BMY217"/>
      <c r="BMZ217"/>
      <c r="BNA217"/>
      <c r="BNB217"/>
      <c r="BNC217"/>
      <c r="BND217"/>
      <c r="BNE217"/>
      <c r="BNF217"/>
      <c r="BNG217"/>
      <c r="BNH217"/>
      <c r="BNI217"/>
      <c r="BNJ217"/>
      <c r="BNK217"/>
      <c r="BNL217"/>
      <c r="BNM217"/>
      <c r="BNN217"/>
      <c r="BNO217"/>
      <c r="BNP217"/>
      <c r="BNQ217"/>
      <c r="BNR217"/>
      <c r="BNS217"/>
      <c r="BNT217"/>
      <c r="BNU217"/>
      <c r="BNV217"/>
      <c r="BNW217"/>
      <c r="BNX217"/>
      <c r="BNY217"/>
      <c r="BNZ217"/>
      <c r="BOA217"/>
      <c r="BOB217"/>
      <c r="BOC217"/>
      <c r="BOD217"/>
      <c r="BOE217"/>
      <c r="BOF217"/>
      <c r="BOG217"/>
      <c r="BOH217"/>
      <c r="BOI217"/>
      <c r="BOJ217"/>
      <c r="BOK217"/>
      <c r="BOL217"/>
      <c r="BOM217"/>
      <c r="BON217"/>
      <c r="BOO217"/>
      <c r="BOP217"/>
      <c r="BOQ217"/>
      <c r="BOR217"/>
      <c r="BOS217"/>
      <c r="BOT217"/>
      <c r="BOU217"/>
      <c r="BOV217"/>
      <c r="BOW217"/>
      <c r="BOX217"/>
      <c r="BOY217"/>
      <c r="BOZ217"/>
      <c r="BPA217"/>
      <c r="BPB217"/>
      <c r="BPC217"/>
      <c r="BPD217"/>
      <c r="BPE217"/>
      <c r="BPF217"/>
      <c r="BPG217"/>
      <c r="BPH217"/>
      <c r="BPI217"/>
      <c r="BPJ217"/>
      <c r="BPK217"/>
      <c r="BPL217"/>
      <c r="BPM217"/>
      <c r="BPN217"/>
      <c r="BPO217"/>
      <c r="BPP217"/>
      <c r="BPQ217"/>
      <c r="BPR217"/>
      <c r="BPS217"/>
      <c r="BPT217"/>
      <c r="BPU217"/>
      <c r="BPV217"/>
      <c r="BPW217"/>
      <c r="BPX217"/>
      <c r="BPY217"/>
      <c r="BPZ217"/>
      <c r="BQA217"/>
      <c r="BQB217"/>
      <c r="BQC217"/>
      <c r="BQD217"/>
      <c r="BQE217"/>
      <c r="BQF217"/>
      <c r="BQG217"/>
      <c r="BQH217"/>
      <c r="BQI217"/>
      <c r="BQJ217"/>
      <c r="BQK217"/>
      <c r="BQL217"/>
      <c r="BQM217"/>
      <c r="BQN217"/>
      <c r="BQO217"/>
      <c r="BQP217"/>
      <c r="BQQ217"/>
      <c r="BQR217"/>
      <c r="BQS217"/>
      <c r="BQT217"/>
      <c r="BQU217"/>
      <c r="BQV217"/>
      <c r="BQW217"/>
      <c r="BQX217"/>
      <c r="BQY217"/>
      <c r="BQZ217"/>
      <c r="BRA217"/>
      <c r="BRB217"/>
      <c r="BRC217"/>
      <c r="BRD217"/>
      <c r="BRE217"/>
      <c r="BRF217"/>
      <c r="BRG217"/>
      <c r="BRH217"/>
      <c r="BRI217"/>
      <c r="BRJ217"/>
      <c r="BRK217"/>
      <c r="BRL217"/>
      <c r="BRM217"/>
      <c r="BRN217"/>
      <c r="BRO217"/>
      <c r="BRP217"/>
      <c r="BRQ217"/>
      <c r="BRR217"/>
      <c r="BRS217"/>
      <c r="BRT217"/>
      <c r="BRU217"/>
      <c r="BRV217"/>
      <c r="BRW217"/>
      <c r="BRX217"/>
      <c r="BRY217"/>
      <c r="BRZ217"/>
      <c r="BSA217"/>
      <c r="BSB217"/>
      <c r="BSC217"/>
      <c r="BSD217"/>
      <c r="BSE217"/>
      <c r="BSF217"/>
      <c r="BSG217"/>
      <c r="BSH217"/>
      <c r="BSI217"/>
      <c r="BSJ217"/>
      <c r="BSK217"/>
      <c r="BSL217"/>
      <c r="BSM217"/>
      <c r="BSN217"/>
      <c r="BSO217"/>
      <c r="BSP217"/>
      <c r="BSQ217"/>
      <c r="BSR217"/>
      <c r="BSS217"/>
      <c r="BST217"/>
      <c r="BSU217"/>
      <c r="BSV217"/>
      <c r="BSW217"/>
      <c r="BSX217"/>
      <c r="BSY217"/>
      <c r="BSZ217"/>
      <c r="BTA217"/>
      <c r="BTB217"/>
      <c r="BTC217"/>
      <c r="BTD217"/>
      <c r="BTE217"/>
      <c r="BTF217"/>
      <c r="BTG217"/>
      <c r="BTH217"/>
      <c r="BTI217"/>
      <c r="BTJ217"/>
      <c r="BTK217"/>
      <c r="BTL217"/>
      <c r="BTM217"/>
      <c r="BTN217"/>
      <c r="BTO217"/>
      <c r="BTP217"/>
      <c r="BTQ217"/>
      <c r="BTR217"/>
      <c r="BTS217"/>
      <c r="BTT217"/>
      <c r="BTU217"/>
      <c r="BTV217"/>
      <c r="BTW217"/>
      <c r="BTX217"/>
      <c r="BTY217"/>
      <c r="BTZ217"/>
      <c r="BUA217"/>
      <c r="BUB217"/>
      <c r="BUC217"/>
      <c r="BUD217"/>
      <c r="BUE217"/>
      <c r="BUF217"/>
      <c r="BUG217"/>
      <c r="BUH217"/>
      <c r="BUI217"/>
      <c r="BUJ217"/>
      <c r="BUK217"/>
      <c r="BUL217"/>
      <c r="BUM217"/>
      <c r="BUN217"/>
      <c r="BUO217"/>
      <c r="BUP217"/>
      <c r="BUQ217"/>
      <c r="BUR217"/>
      <c r="BUS217"/>
      <c r="BUT217"/>
      <c r="BUU217"/>
      <c r="BUV217"/>
      <c r="BUW217"/>
      <c r="BUX217"/>
      <c r="BUY217"/>
      <c r="BUZ217"/>
      <c r="BVA217"/>
      <c r="BVB217"/>
      <c r="BVC217"/>
      <c r="BVD217"/>
      <c r="BVE217"/>
      <c r="BVF217"/>
      <c r="BVG217"/>
      <c r="BVH217"/>
      <c r="BVI217"/>
      <c r="BVJ217"/>
      <c r="BVK217"/>
      <c r="BVL217"/>
      <c r="BVM217"/>
      <c r="BVN217"/>
      <c r="BVO217"/>
      <c r="BVP217"/>
      <c r="BVQ217"/>
      <c r="BVR217"/>
      <c r="BVS217"/>
      <c r="BVT217"/>
      <c r="BVU217"/>
      <c r="BVV217"/>
      <c r="BVW217"/>
      <c r="BVX217"/>
      <c r="BVY217"/>
      <c r="BVZ217"/>
      <c r="BWA217"/>
      <c r="BWB217"/>
      <c r="BWC217"/>
      <c r="BWD217"/>
      <c r="BWE217"/>
      <c r="BWF217"/>
      <c r="BWG217"/>
      <c r="BWH217"/>
      <c r="BWI217"/>
      <c r="BWJ217"/>
      <c r="BWK217"/>
      <c r="BWL217"/>
      <c r="BWM217"/>
      <c r="BWN217"/>
      <c r="BWO217"/>
      <c r="BWP217"/>
      <c r="BWQ217"/>
      <c r="BWR217"/>
      <c r="BWS217"/>
      <c r="BWT217"/>
      <c r="BWU217"/>
      <c r="BWV217"/>
      <c r="BWW217"/>
      <c r="BWX217"/>
      <c r="BWY217"/>
      <c r="BWZ217"/>
      <c r="BXA217"/>
      <c r="BXB217"/>
      <c r="BXC217"/>
      <c r="BXD217"/>
      <c r="BXE217"/>
      <c r="BXF217"/>
      <c r="BXG217"/>
      <c r="BXH217"/>
      <c r="BXI217"/>
      <c r="BXJ217"/>
      <c r="BXK217"/>
      <c r="BXL217"/>
      <c r="BXM217"/>
      <c r="BXN217"/>
      <c r="BXO217"/>
      <c r="BXP217"/>
      <c r="BXQ217"/>
      <c r="BXR217"/>
      <c r="BXS217"/>
      <c r="BXT217"/>
      <c r="BXU217"/>
      <c r="BXV217"/>
      <c r="BXW217"/>
      <c r="BXX217"/>
      <c r="BXY217"/>
      <c r="BXZ217"/>
      <c r="BYA217"/>
      <c r="BYB217"/>
      <c r="BYC217"/>
      <c r="BYD217"/>
      <c r="BYE217"/>
      <c r="BYF217"/>
      <c r="BYG217"/>
      <c r="BYH217"/>
      <c r="BYI217"/>
      <c r="BYJ217"/>
      <c r="BYK217"/>
      <c r="BYL217"/>
      <c r="BYM217"/>
      <c r="BYN217"/>
      <c r="BYO217"/>
      <c r="BYP217"/>
      <c r="BYQ217"/>
      <c r="BYR217"/>
      <c r="BYS217"/>
      <c r="BYT217"/>
      <c r="BYU217"/>
      <c r="BYV217"/>
      <c r="BYW217"/>
      <c r="BYX217"/>
      <c r="BYY217"/>
      <c r="BYZ217"/>
      <c r="BZA217"/>
      <c r="BZB217"/>
      <c r="BZC217"/>
      <c r="BZD217"/>
      <c r="BZE217"/>
      <c r="BZF217"/>
      <c r="BZG217"/>
      <c r="BZH217"/>
      <c r="BZI217"/>
      <c r="BZJ217"/>
      <c r="BZK217"/>
      <c r="BZL217"/>
      <c r="BZM217"/>
      <c r="BZN217"/>
      <c r="BZO217"/>
      <c r="BZP217"/>
      <c r="BZQ217"/>
      <c r="BZR217"/>
      <c r="BZS217"/>
      <c r="BZT217"/>
      <c r="BZU217"/>
      <c r="BZV217"/>
      <c r="BZW217"/>
      <c r="BZX217"/>
      <c r="BZY217"/>
      <c r="BZZ217"/>
      <c r="CAA217"/>
      <c r="CAB217"/>
      <c r="CAC217"/>
      <c r="CAD217"/>
      <c r="CAE217"/>
      <c r="CAF217"/>
      <c r="CAG217"/>
      <c r="CAH217"/>
      <c r="CAI217"/>
      <c r="CAJ217"/>
      <c r="CAK217"/>
      <c r="CAL217"/>
      <c r="CAM217"/>
      <c r="CAN217"/>
      <c r="CAO217"/>
      <c r="CAP217"/>
      <c r="CAQ217"/>
      <c r="CAR217"/>
      <c r="CAS217"/>
      <c r="CAT217"/>
      <c r="CAU217"/>
      <c r="CAV217"/>
      <c r="CAW217"/>
      <c r="CAX217"/>
      <c r="CAY217"/>
      <c r="CAZ217"/>
      <c r="CBA217"/>
      <c r="CBB217"/>
      <c r="CBC217"/>
      <c r="CBD217"/>
      <c r="CBE217"/>
      <c r="CBF217"/>
      <c r="CBG217"/>
      <c r="CBH217"/>
      <c r="CBI217"/>
      <c r="CBJ217"/>
      <c r="CBK217"/>
      <c r="CBL217"/>
      <c r="CBM217"/>
      <c r="CBN217"/>
      <c r="CBO217"/>
      <c r="CBP217"/>
      <c r="CBQ217"/>
      <c r="CBR217"/>
      <c r="CBS217"/>
      <c r="CBT217"/>
      <c r="CBU217"/>
      <c r="CBV217"/>
      <c r="CBW217"/>
      <c r="CBX217"/>
      <c r="CBY217"/>
      <c r="CBZ217"/>
      <c r="CCA217"/>
      <c r="CCB217"/>
      <c r="CCC217"/>
      <c r="CCD217"/>
      <c r="CCE217"/>
      <c r="CCF217"/>
      <c r="CCG217"/>
      <c r="CCH217"/>
      <c r="CCI217"/>
      <c r="CCJ217"/>
      <c r="CCK217"/>
      <c r="CCL217"/>
      <c r="CCM217"/>
      <c r="CCN217"/>
      <c r="CCO217"/>
      <c r="CCP217"/>
      <c r="CCQ217"/>
      <c r="CCR217"/>
      <c r="CCS217"/>
      <c r="CCT217"/>
      <c r="CCU217"/>
      <c r="CCV217"/>
      <c r="CCW217"/>
      <c r="CCX217"/>
      <c r="CCY217"/>
      <c r="CCZ217"/>
      <c r="CDA217"/>
      <c r="CDB217"/>
      <c r="CDC217"/>
      <c r="CDD217"/>
      <c r="CDE217"/>
      <c r="CDF217"/>
      <c r="CDG217"/>
      <c r="CDH217"/>
      <c r="CDI217"/>
      <c r="CDJ217"/>
      <c r="CDK217"/>
      <c r="CDL217"/>
      <c r="CDM217"/>
      <c r="CDN217"/>
      <c r="CDO217"/>
      <c r="CDP217"/>
      <c r="CDQ217"/>
      <c r="CDR217"/>
      <c r="CDS217"/>
      <c r="CDT217"/>
      <c r="CDU217"/>
      <c r="CDV217"/>
      <c r="CDW217"/>
      <c r="CDX217"/>
      <c r="CDY217"/>
      <c r="CDZ217"/>
      <c r="CEA217"/>
      <c r="CEB217"/>
      <c r="CEC217"/>
      <c r="CED217"/>
      <c r="CEE217"/>
      <c r="CEF217"/>
      <c r="CEG217"/>
      <c r="CEH217"/>
      <c r="CEI217"/>
      <c r="CEJ217"/>
      <c r="CEK217"/>
      <c r="CEL217"/>
      <c r="CEM217"/>
      <c r="CEN217"/>
      <c r="CEO217"/>
      <c r="CEP217"/>
      <c r="CEQ217"/>
      <c r="CER217"/>
      <c r="CES217"/>
      <c r="CET217"/>
      <c r="CEU217"/>
      <c r="CEV217"/>
      <c r="CEW217"/>
      <c r="CEX217"/>
      <c r="CEY217"/>
      <c r="CEZ217"/>
      <c r="CFA217"/>
      <c r="CFB217"/>
      <c r="CFC217"/>
      <c r="CFD217"/>
      <c r="CFE217"/>
      <c r="CFF217"/>
      <c r="CFG217"/>
      <c r="CFH217"/>
      <c r="CFI217"/>
      <c r="CFJ217"/>
      <c r="CFK217"/>
      <c r="CFL217"/>
      <c r="CFM217"/>
      <c r="CFN217"/>
      <c r="CFO217"/>
      <c r="CFP217"/>
      <c r="CFQ217"/>
      <c r="CFR217"/>
      <c r="CFS217"/>
      <c r="CFT217"/>
      <c r="CFU217"/>
      <c r="CFV217"/>
      <c r="CFW217"/>
      <c r="CFX217"/>
      <c r="CFY217"/>
      <c r="CFZ217"/>
      <c r="CGA217"/>
      <c r="CGB217"/>
      <c r="CGC217"/>
      <c r="CGD217"/>
      <c r="CGE217"/>
      <c r="CGF217"/>
      <c r="CGG217"/>
      <c r="CGH217"/>
      <c r="CGI217"/>
      <c r="CGJ217"/>
      <c r="CGK217"/>
      <c r="CGL217"/>
      <c r="CGM217"/>
      <c r="CGN217"/>
      <c r="CGO217"/>
      <c r="CGP217"/>
      <c r="CGQ217"/>
      <c r="CGR217"/>
      <c r="CGS217"/>
      <c r="CGT217"/>
      <c r="CGU217"/>
      <c r="CGV217"/>
      <c r="CGW217"/>
      <c r="CGX217"/>
      <c r="CGY217"/>
      <c r="CGZ217"/>
      <c r="CHA217"/>
      <c r="CHB217"/>
      <c r="CHC217"/>
      <c r="CHD217"/>
      <c r="CHE217"/>
      <c r="CHF217"/>
      <c r="CHG217"/>
      <c r="CHH217"/>
      <c r="CHI217"/>
      <c r="CHJ217"/>
      <c r="CHK217"/>
      <c r="CHL217"/>
      <c r="CHM217"/>
      <c r="CHN217"/>
      <c r="CHO217"/>
      <c r="CHP217"/>
      <c r="CHQ217"/>
      <c r="CHR217"/>
      <c r="CHS217"/>
      <c r="CHT217"/>
      <c r="CHU217"/>
      <c r="CHV217"/>
      <c r="CHW217"/>
      <c r="CHX217"/>
      <c r="CHY217"/>
      <c r="CHZ217"/>
      <c r="CIA217"/>
      <c r="CIB217"/>
      <c r="CIC217"/>
      <c r="CID217"/>
      <c r="CIE217"/>
      <c r="CIF217"/>
      <c r="CIG217"/>
      <c r="CIH217"/>
      <c r="CII217"/>
      <c r="CIJ217"/>
      <c r="CIK217"/>
      <c r="CIL217"/>
      <c r="CIM217"/>
      <c r="CIN217"/>
      <c r="CIO217"/>
      <c r="CIP217"/>
      <c r="CIQ217"/>
      <c r="CIR217"/>
      <c r="CIS217"/>
      <c r="CIT217"/>
      <c r="CIU217"/>
      <c r="CIV217"/>
      <c r="CIW217"/>
      <c r="CIX217"/>
      <c r="CIY217"/>
      <c r="CIZ217"/>
      <c r="CJA217"/>
      <c r="CJB217"/>
      <c r="CJC217"/>
      <c r="CJD217"/>
      <c r="CJE217"/>
      <c r="CJF217"/>
      <c r="CJG217"/>
      <c r="CJH217"/>
      <c r="CJI217"/>
      <c r="CJJ217"/>
      <c r="CJK217"/>
      <c r="CJL217"/>
      <c r="CJM217"/>
      <c r="CJN217"/>
      <c r="CJO217"/>
      <c r="CJP217"/>
      <c r="CJQ217"/>
      <c r="CJR217"/>
      <c r="CJS217"/>
      <c r="CJT217"/>
      <c r="CJU217"/>
      <c r="CJV217"/>
      <c r="CJW217"/>
      <c r="CJX217"/>
      <c r="CJY217"/>
      <c r="CJZ217"/>
      <c r="CKA217"/>
      <c r="CKB217"/>
      <c r="CKC217"/>
      <c r="CKD217"/>
      <c r="CKE217"/>
      <c r="CKF217"/>
      <c r="CKG217"/>
      <c r="CKH217"/>
      <c r="CKI217"/>
      <c r="CKJ217"/>
      <c r="CKK217"/>
      <c r="CKL217"/>
      <c r="CKM217"/>
      <c r="CKN217"/>
      <c r="CKO217"/>
      <c r="CKP217"/>
      <c r="CKQ217"/>
      <c r="CKR217"/>
      <c r="CKS217"/>
      <c r="CKT217"/>
      <c r="CKU217"/>
      <c r="CKV217"/>
      <c r="CKW217"/>
      <c r="CKX217"/>
      <c r="CKY217"/>
      <c r="CKZ217"/>
      <c r="CLA217"/>
      <c r="CLB217"/>
      <c r="CLC217"/>
      <c r="CLD217"/>
      <c r="CLE217"/>
      <c r="CLF217"/>
      <c r="CLG217"/>
      <c r="CLH217"/>
      <c r="CLI217"/>
      <c r="CLJ217"/>
      <c r="CLK217"/>
      <c r="CLL217"/>
      <c r="CLM217"/>
      <c r="CLN217"/>
      <c r="CLO217"/>
      <c r="CLP217"/>
      <c r="CLQ217"/>
      <c r="CLR217"/>
      <c r="CLS217"/>
      <c r="CLT217"/>
      <c r="CLU217"/>
      <c r="CLV217"/>
      <c r="CLW217"/>
      <c r="CLX217"/>
      <c r="CLY217"/>
      <c r="CLZ217"/>
      <c r="CMA217"/>
      <c r="CMB217"/>
      <c r="CMC217"/>
      <c r="CMD217"/>
      <c r="CME217"/>
      <c r="CMF217"/>
      <c r="CMG217"/>
      <c r="CMH217"/>
      <c r="CMI217"/>
      <c r="CMJ217"/>
      <c r="CMK217"/>
      <c r="CML217"/>
      <c r="CMM217"/>
      <c r="CMN217"/>
      <c r="CMO217"/>
      <c r="CMP217"/>
      <c r="CMQ217"/>
      <c r="CMR217"/>
      <c r="CMS217"/>
      <c r="CMT217"/>
      <c r="CMU217"/>
      <c r="CMV217"/>
      <c r="CMW217"/>
      <c r="CMX217"/>
      <c r="CMY217"/>
      <c r="CMZ217"/>
      <c r="CNA217"/>
      <c r="CNB217"/>
      <c r="CNC217"/>
      <c r="CND217"/>
      <c r="CNE217"/>
      <c r="CNF217"/>
      <c r="CNG217"/>
      <c r="CNH217"/>
      <c r="CNI217"/>
      <c r="CNJ217"/>
      <c r="CNK217"/>
      <c r="CNL217"/>
      <c r="CNM217"/>
      <c r="CNN217"/>
      <c r="CNO217"/>
      <c r="CNP217"/>
      <c r="CNQ217"/>
      <c r="CNR217"/>
      <c r="CNS217"/>
      <c r="CNT217"/>
      <c r="CNU217"/>
      <c r="CNV217"/>
      <c r="CNW217"/>
      <c r="CNX217"/>
      <c r="CNY217"/>
      <c r="CNZ217"/>
      <c r="COA217"/>
      <c r="COB217"/>
      <c r="COC217"/>
      <c r="COD217"/>
      <c r="COE217"/>
      <c r="COF217"/>
      <c r="COG217"/>
      <c r="COH217"/>
      <c r="COI217"/>
      <c r="COJ217"/>
      <c r="COK217"/>
      <c r="COL217"/>
      <c r="COM217"/>
      <c r="CON217"/>
      <c r="COO217"/>
      <c r="COP217"/>
      <c r="COQ217"/>
      <c r="COR217"/>
      <c r="COS217"/>
      <c r="COT217"/>
      <c r="COU217"/>
      <c r="COV217"/>
      <c r="COW217"/>
      <c r="COX217"/>
      <c r="COY217"/>
      <c r="COZ217"/>
      <c r="CPA217"/>
      <c r="CPB217"/>
      <c r="CPC217"/>
      <c r="CPD217"/>
      <c r="CPE217"/>
      <c r="CPF217"/>
      <c r="CPG217"/>
      <c r="CPH217"/>
      <c r="CPI217"/>
      <c r="CPJ217"/>
      <c r="CPK217"/>
      <c r="CPL217"/>
      <c r="CPM217"/>
      <c r="CPN217"/>
      <c r="CPO217"/>
      <c r="CPP217"/>
      <c r="CPQ217"/>
      <c r="CPR217"/>
      <c r="CPS217"/>
      <c r="CPT217"/>
      <c r="CPU217"/>
      <c r="CPV217"/>
      <c r="CPW217"/>
      <c r="CPX217"/>
      <c r="CPY217"/>
      <c r="CPZ217"/>
      <c r="CQA217"/>
      <c r="CQB217"/>
      <c r="CQC217"/>
      <c r="CQD217"/>
      <c r="CQE217"/>
      <c r="CQF217"/>
      <c r="CQG217"/>
      <c r="CQH217"/>
      <c r="CQI217"/>
      <c r="CQJ217"/>
      <c r="CQK217"/>
      <c r="CQL217"/>
      <c r="CQM217"/>
      <c r="CQN217"/>
      <c r="CQO217"/>
      <c r="CQP217"/>
      <c r="CQQ217"/>
      <c r="CQR217"/>
      <c r="CQS217"/>
      <c r="CQT217"/>
      <c r="CQU217"/>
      <c r="CQV217"/>
      <c r="CQW217"/>
      <c r="CQX217"/>
      <c r="CQY217"/>
      <c r="CQZ217"/>
      <c r="CRA217"/>
      <c r="CRB217"/>
      <c r="CRC217"/>
      <c r="CRD217"/>
      <c r="CRE217"/>
      <c r="CRF217"/>
      <c r="CRG217"/>
      <c r="CRH217"/>
      <c r="CRI217"/>
      <c r="CRJ217"/>
      <c r="CRK217"/>
      <c r="CRL217"/>
      <c r="CRM217"/>
      <c r="CRN217"/>
      <c r="CRO217"/>
      <c r="CRP217"/>
      <c r="CRQ217"/>
      <c r="CRR217"/>
      <c r="CRS217"/>
      <c r="CRT217"/>
      <c r="CRU217"/>
      <c r="CRV217"/>
      <c r="CRW217"/>
      <c r="CRX217"/>
      <c r="CRY217"/>
      <c r="CRZ217"/>
      <c r="CSA217"/>
      <c r="CSB217"/>
      <c r="CSC217"/>
      <c r="CSD217"/>
      <c r="CSE217"/>
      <c r="CSF217"/>
      <c r="CSG217"/>
      <c r="CSH217"/>
      <c r="CSI217"/>
      <c r="CSJ217"/>
      <c r="CSK217"/>
      <c r="CSL217"/>
      <c r="CSM217"/>
      <c r="CSN217"/>
      <c r="CSO217"/>
      <c r="CSP217"/>
      <c r="CSQ217"/>
      <c r="CSR217"/>
      <c r="CSS217"/>
      <c r="CST217"/>
      <c r="CSU217"/>
      <c r="CSV217"/>
      <c r="CSW217"/>
      <c r="CSX217"/>
      <c r="CSY217"/>
      <c r="CSZ217"/>
      <c r="CTA217"/>
      <c r="CTB217"/>
      <c r="CTC217"/>
      <c r="CTD217"/>
      <c r="CTE217"/>
      <c r="CTF217"/>
      <c r="CTG217"/>
      <c r="CTH217"/>
      <c r="CTI217"/>
      <c r="CTJ217"/>
      <c r="CTK217"/>
      <c r="CTL217"/>
      <c r="CTM217"/>
      <c r="CTN217"/>
      <c r="CTO217"/>
      <c r="CTP217"/>
      <c r="CTQ217"/>
      <c r="CTR217"/>
      <c r="CTS217"/>
      <c r="CTT217"/>
      <c r="CTU217"/>
      <c r="CTV217"/>
      <c r="CTW217"/>
      <c r="CTX217"/>
      <c r="CTY217"/>
      <c r="CTZ217"/>
      <c r="CUA217"/>
      <c r="CUB217"/>
      <c r="CUC217"/>
      <c r="CUD217"/>
      <c r="CUE217"/>
      <c r="CUF217"/>
      <c r="CUG217"/>
      <c r="CUH217"/>
      <c r="CUI217"/>
      <c r="CUJ217"/>
      <c r="CUK217"/>
      <c r="CUL217"/>
      <c r="CUM217"/>
      <c r="CUN217"/>
      <c r="CUO217"/>
      <c r="CUP217"/>
      <c r="CUQ217"/>
      <c r="CUR217"/>
      <c r="CUS217"/>
      <c r="CUT217"/>
      <c r="CUU217"/>
      <c r="CUV217"/>
      <c r="CUW217"/>
      <c r="CUX217"/>
      <c r="CUY217"/>
      <c r="CUZ217"/>
      <c r="CVA217"/>
      <c r="CVB217"/>
      <c r="CVC217"/>
      <c r="CVD217"/>
      <c r="CVE217"/>
      <c r="CVF217"/>
      <c r="CVG217"/>
      <c r="CVH217"/>
      <c r="CVI217"/>
      <c r="CVJ217"/>
      <c r="CVK217"/>
      <c r="CVL217"/>
      <c r="CVM217"/>
      <c r="CVN217"/>
      <c r="CVO217"/>
      <c r="CVP217"/>
      <c r="CVQ217"/>
      <c r="CVR217"/>
      <c r="CVS217"/>
      <c r="CVT217"/>
      <c r="CVU217"/>
      <c r="CVV217"/>
      <c r="CVW217"/>
      <c r="CVX217"/>
      <c r="CVY217"/>
      <c r="CVZ217"/>
      <c r="CWA217"/>
      <c r="CWB217"/>
      <c r="CWC217"/>
      <c r="CWD217"/>
      <c r="CWE217"/>
      <c r="CWF217"/>
      <c r="CWG217"/>
      <c r="CWH217"/>
      <c r="CWI217"/>
      <c r="CWJ217"/>
      <c r="CWK217"/>
      <c r="CWL217"/>
      <c r="CWM217"/>
      <c r="CWN217"/>
      <c r="CWO217"/>
      <c r="CWP217"/>
      <c r="CWQ217"/>
      <c r="CWR217"/>
      <c r="CWS217"/>
      <c r="CWT217"/>
      <c r="CWU217"/>
      <c r="CWV217"/>
      <c r="CWW217"/>
      <c r="CWX217"/>
      <c r="CWY217"/>
      <c r="CWZ217"/>
      <c r="CXA217"/>
      <c r="CXB217"/>
      <c r="CXC217"/>
      <c r="CXD217"/>
      <c r="CXE217"/>
      <c r="CXF217"/>
      <c r="CXG217"/>
      <c r="CXH217"/>
      <c r="CXI217"/>
      <c r="CXJ217"/>
      <c r="CXK217"/>
      <c r="CXL217"/>
      <c r="CXM217"/>
      <c r="CXN217"/>
      <c r="CXO217"/>
      <c r="CXP217"/>
      <c r="CXQ217"/>
      <c r="CXR217"/>
      <c r="CXS217"/>
      <c r="CXT217"/>
      <c r="CXU217"/>
      <c r="CXV217"/>
      <c r="CXW217"/>
      <c r="CXX217"/>
      <c r="CXY217"/>
      <c r="CXZ217"/>
      <c r="CYA217"/>
      <c r="CYB217"/>
      <c r="CYC217"/>
      <c r="CYD217"/>
      <c r="CYE217"/>
      <c r="CYF217"/>
      <c r="CYG217"/>
      <c r="CYH217"/>
      <c r="CYI217"/>
      <c r="CYJ217"/>
      <c r="CYK217"/>
      <c r="CYL217"/>
      <c r="CYM217"/>
      <c r="CYN217"/>
      <c r="CYO217"/>
      <c r="CYP217"/>
      <c r="CYQ217"/>
      <c r="CYR217"/>
      <c r="CYS217"/>
      <c r="CYT217"/>
      <c r="CYU217"/>
      <c r="CYV217"/>
      <c r="CYW217"/>
      <c r="CYX217"/>
      <c r="CYY217"/>
      <c r="CYZ217"/>
      <c r="CZA217"/>
      <c r="CZB217"/>
      <c r="CZC217"/>
      <c r="CZD217"/>
      <c r="CZE217"/>
      <c r="CZF217"/>
      <c r="CZG217"/>
      <c r="CZH217"/>
      <c r="CZI217"/>
      <c r="CZJ217"/>
      <c r="CZK217"/>
      <c r="CZL217"/>
      <c r="CZM217"/>
      <c r="CZN217"/>
      <c r="CZO217"/>
      <c r="CZP217"/>
      <c r="CZQ217"/>
      <c r="CZR217"/>
      <c r="CZS217"/>
      <c r="CZT217"/>
      <c r="CZU217"/>
      <c r="CZV217"/>
      <c r="CZW217"/>
      <c r="CZX217"/>
      <c r="CZY217"/>
      <c r="CZZ217"/>
      <c r="DAA217"/>
      <c r="DAB217"/>
      <c r="DAC217"/>
      <c r="DAD217"/>
      <c r="DAE217"/>
      <c r="DAF217"/>
      <c r="DAG217"/>
      <c r="DAH217"/>
      <c r="DAI217"/>
      <c r="DAJ217"/>
      <c r="DAK217"/>
      <c r="DAL217"/>
      <c r="DAM217"/>
      <c r="DAN217"/>
      <c r="DAO217"/>
      <c r="DAP217"/>
      <c r="DAQ217"/>
      <c r="DAR217"/>
      <c r="DAS217"/>
      <c r="DAT217"/>
      <c r="DAU217"/>
      <c r="DAV217"/>
      <c r="DAW217"/>
      <c r="DAX217"/>
      <c r="DAY217"/>
      <c r="DAZ217"/>
      <c r="DBA217"/>
      <c r="DBB217"/>
      <c r="DBC217"/>
      <c r="DBD217"/>
      <c r="DBE217"/>
      <c r="DBF217"/>
      <c r="DBG217"/>
      <c r="DBH217"/>
      <c r="DBI217"/>
      <c r="DBJ217"/>
      <c r="DBK217"/>
      <c r="DBL217"/>
      <c r="DBM217"/>
      <c r="DBN217"/>
      <c r="DBO217"/>
      <c r="DBP217"/>
      <c r="DBQ217"/>
      <c r="DBR217"/>
      <c r="DBS217"/>
      <c r="DBT217"/>
      <c r="DBU217"/>
      <c r="DBV217"/>
      <c r="DBW217"/>
      <c r="DBX217"/>
      <c r="DBY217"/>
      <c r="DBZ217"/>
      <c r="DCA217"/>
      <c r="DCB217"/>
      <c r="DCC217"/>
      <c r="DCD217"/>
      <c r="DCE217"/>
      <c r="DCF217"/>
      <c r="DCG217"/>
      <c r="DCH217"/>
      <c r="DCI217"/>
      <c r="DCJ217"/>
      <c r="DCK217"/>
      <c r="DCL217"/>
      <c r="DCM217"/>
      <c r="DCN217"/>
      <c r="DCO217"/>
      <c r="DCP217"/>
      <c r="DCQ217"/>
      <c r="DCR217"/>
      <c r="DCS217"/>
      <c r="DCT217"/>
      <c r="DCU217"/>
      <c r="DCV217"/>
      <c r="DCW217"/>
      <c r="DCX217"/>
      <c r="DCY217"/>
      <c r="DCZ217"/>
      <c r="DDA217"/>
      <c r="DDB217"/>
      <c r="DDC217"/>
      <c r="DDD217"/>
      <c r="DDE217"/>
      <c r="DDF217"/>
      <c r="DDG217"/>
      <c r="DDH217"/>
      <c r="DDI217"/>
      <c r="DDJ217"/>
      <c r="DDK217"/>
      <c r="DDL217"/>
      <c r="DDM217"/>
      <c r="DDN217"/>
      <c r="DDO217"/>
      <c r="DDP217"/>
      <c r="DDQ217"/>
      <c r="DDR217"/>
      <c r="DDS217"/>
      <c r="DDT217"/>
      <c r="DDU217"/>
      <c r="DDV217"/>
      <c r="DDW217"/>
      <c r="DDX217"/>
      <c r="DDY217"/>
      <c r="DDZ217"/>
      <c r="DEA217"/>
      <c r="DEB217"/>
      <c r="DEC217"/>
      <c r="DED217"/>
      <c r="DEE217"/>
      <c r="DEF217"/>
      <c r="DEG217"/>
      <c r="DEH217"/>
      <c r="DEI217"/>
      <c r="DEJ217"/>
      <c r="DEK217"/>
      <c r="DEL217"/>
      <c r="DEM217"/>
      <c r="DEN217"/>
      <c r="DEO217"/>
      <c r="DEP217"/>
      <c r="DEQ217"/>
      <c r="DER217"/>
      <c r="DES217"/>
      <c r="DET217"/>
      <c r="DEU217"/>
      <c r="DEV217"/>
      <c r="DEW217"/>
      <c r="DEX217"/>
      <c r="DEY217"/>
      <c r="DEZ217"/>
      <c r="DFA217"/>
      <c r="DFB217"/>
      <c r="DFC217"/>
      <c r="DFD217"/>
      <c r="DFE217"/>
      <c r="DFF217"/>
      <c r="DFG217"/>
      <c r="DFH217"/>
      <c r="DFI217"/>
      <c r="DFJ217"/>
      <c r="DFK217"/>
      <c r="DFL217"/>
      <c r="DFM217"/>
      <c r="DFN217"/>
      <c r="DFO217"/>
      <c r="DFP217"/>
      <c r="DFQ217"/>
      <c r="DFR217"/>
      <c r="DFS217"/>
      <c r="DFT217"/>
      <c r="DFU217"/>
      <c r="DFV217"/>
      <c r="DFW217"/>
      <c r="DFX217"/>
      <c r="DFY217"/>
      <c r="DFZ217"/>
      <c r="DGA217"/>
      <c r="DGB217"/>
      <c r="DGC217"/>
      <c r="DGD217"/>
      <c r="DGE217"/>
      <c r="DGF217"/>
      <c r="DGG217"/>
      <c r="DGH217"/>
      <c r="DGI217"/>
      <c r="DGJ217"/>
      <c r="DGK217"/>
      <c r="DGL217"/>
      <c r="DGM217"/>
      <c r="DGN217"/>
      <c r="DGO217"/>
      <c r="DGP217"/>
      <c r="DGQ217"/>
      <c r="DGR217"/>
      <c r="DGS217"/>
      <c r="DGT217"/>
      <c r="DGU217"/>
      <c r="DGV217"/>
      <c r="DGW217"/>
      <c r="DGX217"/>
      <c r="DGY217"/>
      <c r="DGZ217"/>
      <c r="DHA217"/>
      <c r="DHB217"/>
      <c r="DHC217"/>
      <c r="DHD217"/>
      <c r="DHE217"/>
      <c r="DHF217"/>
      <c r="DHG217"/>
      <c r="DHH217"/>
      <c r="DHI217"/>
      <c r="DHJ217"/>
      <c r="DHK217"/>
      <c r="DHL217"/>
      <c r="DHM217"/>
      <c r="DHN217"/>
      <c r="DHO217"/>
      <c r="DHP217"/>
      <c r="DHQ217"/>
      <c r="DHR217"/>
      <c r="DHS217"/>
      <c r="DHT217"/>
      <c r="DHU217"/>
      <c r="DHV217"/>
      <c r="DHW217"/>
      <c r="DHX217"/>
      <c r="DHY217"/>
      <c r="DHZ217"/>
      <c r="DIA217"/>
      <c r="DIB217"/>
      <c r="DIC217"/>
      <c r="DID217"/>
      <c r="DIE217"/>
      <c r="DIF217"/>
      <c r="DIG217"/>
      <c r="DIH217"/>
      <c r="DII217"/>
      <c r="DIJ217"/>
      <c r="DIK217"/>
      <c r="DIL217"/>
      <c r="DIM217"/>
      <c r="DIN217"/>
      <c r="DIO217"/>
      <c r="DIP217"/>
      <c r="DIQ217"/>
      <c r="DIR217"/>
      <c r="DIS217"/>
      <c r="DIT217"/>
      <c r="DIU217"/>
      <c r="DIV217"/>
      <c r="DIW217"/>
      <c r="DIX217"/>
      <c r="DIY217"/>
      <c r="DIZ217"/>
      <c r="DJA217"/>
      <c r="DJB217"/>
      <c r="DJC217"/>
      <c r="DJD217"/>
      <c r="DJE217"/>
      <c r="DJF217"/>
      <c r="DJG217"/>
      <c r="DJH217"/>
      <c r="DJI217"/>
      <c r="DJJ217"/>
      <c r="DJK217"/>
      <c r="DJL217"/>
      <c r="DJM217"/>
      <c r="DJN217"/>
      <c r="DJO217"/>
      <c r="DJP217"/>
      <c r="DJQ217"/>
      <c r="DJR217"/>
      <c r="DJS217"/>
      <c r="DJT217"/>
      <c r="DJU217"/>
      <c r="DJV217"/>
      <c r="DJW217"/>
      <c r="DJX217"/>
      <c r="DJY217"/>
      <c r="DJZ217"/>
      <c r="DKA217"/>
      <c r="DKB217"/>
      <c r="DKC217"/>
      <c r="DKD217"/>
      <c r="DKE217"/>
      <c r="DKF217"/>
      <c r="DKG217"/>
      <c r="DKH217"/>
      <c r="DKI217"/>
      <c r="DKJ217"/>
      <c r="DKK217"/>
      <c r="DKL217"/>
      <c r="DKM217"/>
      <c r="DKN217"/>
      <c r="DKO217"/>
      <c r="DKP217"/>
      <c r="DKQ217"/>
      <c r="DKR217"/>
      <c r="DKS217"/>
      <c r="DKT217"/>
      <c r="DKU217"/>
      <c r="DKV217"/>
      <c r="DKW217"/>
      <c r="DKX217"/>
      <c r="DKY217"/>
      <c r="DKZ217"/>
      <c r="DLA217"/>
      <c r="DLB217"/>
      <c r="DLC217"/>
      <c r="DLD217"/>
      <c r="DLE217"/>
      <c r="DLF217"/>
      <c r="DLG217"/>
      <c r="DLH217"/>
      <c r="DLI217"/>
      <c r="DLJ217"/>
      <c r="DLK217"/>
      <c r="DLL217"/>
      <c r="DLM217"/>
      <c r="DLN217"/>
      <c r="DLO217"/>
      <c r="DLP217"/>
      <c r="DLQ217"/>
      <c r="DLR217"/>
      <c r="DLS217"/>
      <c r="DLT217"/>
      <c r="DLU217"/>
      <c r="DLV217"/>
      <c r="DLW217"/>
      <c r="DLX217"/>
      <c r="DLY217"/>
      <c r="DLZ217"/>
      <c r="DMA217"/>
      <c r="DMB217"/>
      <c r="DMC217"/>
      <c r="DMD217"/>
      <c r="DME217"/>
      <c r="DMF217"/>
      <c r="DMG217"/>
      <c r="DMH217"/>
      <c r="DMI217"/>
      <c r="DMJ217"/>
      <c r="DMK217"/>
      <c r="DML217"/>
      <c r="DMM217"/>
      <c r="DMN217"/>
      <c r="DMO217"/>
      <c r="DMP217"/>
      <c r="DMQ217"/>
      <c r="DMR217"/>
      <c r="DMS217"/>
      <c r="DMT217"/>
      <c r="DMU217"/>
      <c r="DMV217"/>
      <c r="DMW217"/>
      <c r="DMX217"/>
      <c r="DMY217"/>
      <c r="DMZ217"/>
      <c r="DNA217"/>
      <c r="DNB217"/>
      <c r="DNC217"/>
      <c r="DND217"/>
      <c r="DNE217"/>
      <c r="DNF217"/>
      <c r="DNG217"/>
      <c r="DNH217"/>
      <c r="DNI217"/>
      <c r="DNJ217"/>
      <c r="DNK217"/>
      <c r="DNL217"/>
      <c r="DNM217"/>
      <c r="DNN217"/>
      <c r="DNO217"/>
      <c r="DNP217"/>
      <c r="DNQ217"/>
      <c r="DNR217"/>
      <c r="DNS217"/>
      <c r="DNT217"/>
      <c r="DNU217"/>
      <c r="DNV217"/>
      <c r="DNW217"/>
      <c r="DNX217"/>
      <c r="DNY217"/>
      <c r="DNZ217"/>
      <c r="DOA217"/>
      <c r="DOB217"/>
      <c r="DOC217"/>
      <c r="DOD217"/>
      <c r="DOE217"/>
      <c r="DOF217"/>
      <c r="DOG217"/>
      <c r="DOH217"/>
      <c r="DOI217"/>
      <c r="DOJ217"/>
      <c r="DOK217"/>
      <c r="DOL217"/>
      <c r="DOM217"/>
      <c r="DON217"/>
      <c r="DOO217"/>
      <c r="DOP217"/>
      <c r="DOQ217"/>
      <c r="DOR217"/>
      <c r="DOS217"/>
      <c r="DOT217"/>
      <c r="DOU217"/>
      <c r="DOV217"/>
      <c r="DOW217"/>
      <c r="DOX217"/>
      <c r="DOY217"/>
      <c r="DOZ217"/>
      <c r="DPA217"/>
      <c r="DPB217"/>
      <c r="DPC217"/>
      <c r="DPD217"/>
      <c r="DPE217"/>
      <c r="DPF217"/>
      <c r="DPG217"/>
      <c r="DPH217"/>
      <c r="DPI217"/>
      <c r="DPJ217"/>
      <c r="DPK217"/>
      <c r="DPL217"/>
      <c r="DPM217"/>
      <c r="DPN217"/>
      <c r="DPO217"/>
      <c r="DPP217"/>
      <c r="DPQ217"/>
      <c r="DPR217"/>
      <c r="DPS217"/>
      <c r="DPT217"/>
      <c r="DPU217"/>
      <c r="DPV217"/>
      <c r="DPW217"/>
      <c r="DPX217"/>
      <c r="DPY217"/>
      <c r="DPZ217"/>
      <c r="DQA217"/>
      <c r="DQB217"/>
      <c r="DQC217"/>
      <c r="DQD217"/>
      <c r="DQE217"/>
      <c r="DQF217"/>
      <c r="DQG217"/>
      <c r="DQH217"/>
      <c r="DQI217"/>
      <c r="DQJ217"/>
      <c r="DQK217"/>
      <c r="DQL217"/>
      <c r="DQM217"/>
      <c r="DQN217"/>
      <c r="DQO217"/>
      <c r="DQP217"/>
      <c r="DQQ217"/>
      <c r="DQR217"/>
      <c r="DQS217"/>
      <c r="DQT217"/>
      <c r="DQU217"/>
      <c r="DQV217"/>
      <c r="DQW217"/>
      <c r="DQX217"/>
      <c r="DQY217"/>
      <c r="DQZ217"/>
      <c r="DRA217"/>
      <c r="DRB217"/>
      <c r="DRC217"/>
      <c r="DRD217"/>
      <c r="DRE217"/>
      <c r="DRF217"/>
      <c r="DRG217"/>
      <c r="DRH217"/>
      <c r="DRI217"/>
      <c r="DRJ217"/>
      <c r="DRK217"/>
      <c r="DRL217"/>
      <c r="DRM217"/>
      <c r="DRN217"/>
      <c r="DRO217"/>
      <c r="DRP217"/>
      <c r="DRQ217"/>
      <c r="DRR217"/>
      <c r="DRS217"/>
      <c r="DRT217"/>
      <c r="DRU217"/>
      <c r="DRV217"/>
      <c r="DRW217"/>
      <c r="DRX217"/>
      <c r="DRY217"/>
      <c r="DRZ217"/>
      <c r="DSA217"/>
      <c r="DSB217"/>
      <c r="DSC217"/>
      <c r="DSD217"/>
      <c r="DSE217"/>
      <c r="DSF217"/>
      <c r="DSG217"/>
      <c r="DSH217"/>
      <c r="DSI217"/>
      <c r="DSJ217"/>
      <c r="DSK217"/>
      <c r="DSL217"/>
      <c r="DSM217"/>
      <c r="DSN217"/>
      <c r="DSO217"/>
      <c r="DSP217"/>
      <c r="DSQ217"/>
      <c r="DSR217"/>
      <c r="DSS217"/>
      <c r="DST217"/>
      <c r="DSU217"/>
      <c r="DSV217"/>
      <c r="DSW217"/>
      <c r="DSX217"/>
      <c r="DSY217"/>
      <c r="DSZ217"/>
      <c r="DTA217"/>
      <c r="DTB217"/>
      <c r="DTC217"/>
      <c r="DTD217"/>
      <c r="DTE217"/>
      <c r="DTF217"/>
      <c r="DTG217"/>
      <c r="DTH217"/>
      <c r="DTI217"/>
      <c r="DTJ217"/>
      <c r="DTK217"/>
      <c r="DTL217"/>
      <c r="DTM217"/>
      <c r="DTN217"/>
      <c r="DTO217"/>
      <c r="DTP217"/>
      <c r="DTQ217"/>
      <c r="DTR217"/>
      <c r="DTS217"/>
      <c r="DTT217"/>
      <c r="DTU217"/>
      <c r="DTV217"/>
      <c r="DTW217"/>
      <c r="DTX217"/>
      <c r="DTY217"/>
      <c r="DTZ217"/>
      <c r="DUA217"/>
      <c r="DUB217"/>
      <c r="DUC217"/>
      <c r="DUD217"/>
      <c r="DUE217"/>
      <c r="DUF217"/>
      <c r="DUG217"/>
      <c r="DUH217"/>
      <c r="DUI217"/>
      <c r="DUJ217"/>
      <c r="DUK217"/>
      <c r="DUL217"/>
      <c r="DUM217"/>
      <c r="DUN217"/>
      <c r="DUO217"/>
      <c r="DUP217"/>
      <c r="DUQ217"/>
      <c r="DUR217"/>
      <c r="DUS217"/>
      <c r="DUT217"/>
      <c r="DUU217"/>
      <c r="DUV217"/>
      <c r="DUW217"/>
      <c r="DUX217"/>
      <c r="DUY217"/>
      <c r="DUZ217"/>
      <c r="DVA217"/>
      <c r="DVB217"/>
      <c r="DVC217"/>
      <c r="DVD217"/>
      <c r="DVE217"/>
      <c r="DVF217"/>
      <c r="DVG217"/>
      <c r="DVH217"/>
      <c r="DVI217"/>
      <c r="DVJ217"/>
      <c r="DVK217"/>
      <c r="DVL217"/>
      <c r="DVM217"/>
      <c r="DVN217"/>
      <c r="DVO217"/>
      <c r="DVP217"/>
      <c r="DVQ217"/>
      <c r="DVR217"/>
      <c r="DVS217"/>
      <c r="DVT217"/>
      <c r="DVU217"/>
      <c r="DVV217"/>
      <c r="DVW217"/>
      <c r="DVX217"/>
      <c r="DVY217"/>
      <c r="DVZ217"/>
      <c r="DWA217"/>
      <c r="DWB217"/>
      <c r="DWC217"/>
      <c r="DWD217"/>
      <c r="DWE217"/>
      <c r="DWF217"/>
      <c r="DWG217"/>
      <c r="DWH217"/>
      <c r="DWI217"/>
      <c r="DWJ217"/>
      <c r="DWK217"/>
      <c r="DWL217"/>
      <c r="DWM217"/>
      <c r="DWN217"/>
      <c r="DWO217"/>
      <c r="DWP217"/>
      <c r="DWQ217"/>
      <c r="DWR217"/>
      <c r="DWS217"/>
      <c r="DWT217"/>
      <c r="DWU217"/>
      <c r="DWV217"/>
      <c r="DWW217"/>
      <c r="DWX217"/>
      <c r="DWY217"/>
      <c r="DWZ217"/>
      <c r="DXA217"/>
      <c r="DXB217"/>
      <c r="DXC217"/>
      <c r="DXD217"/>
      <c r="DXE217"/>
      <c r="DXF217"/>
      <c r="DXG217"/>
      <c r="DXH217"/>
      <c r="DXI217"/>
      <c r="DXJ217"/>
      <c r="DXK217"/>
      <c r="DXL217"/>
      <c r="DXM217"/>
      <c r="DXN217"/>
      <c r="DXO217"/>
      <c r="DXP217"/>
      <c r="DXQ217"/>
      <c r="DXR217"/>
      <c r="DXS217"/>
      <c r="DXT217"/>
      <c r="DXU217"/>
      <c r="DXV217"/>
      <c r="DXW217"/>
      <c r="DXX217"/>
      <c r="DXY217"/>
      <c r="DXZ217"/>
      <c r="DYA217"/>
      <c r="DYB217"/>
      <c r="DYC217"/>
      <c r="DYD217"/>
      <c r="DYE217"/>
      <c r="DYF217"/>
      <c r="DYG217"/>
      <c r="DYH217"/>
      <c r="DYI217"/>
      <c r="DYJ217"/>
      <c r="DYK217"/>
      <c r="DYL217"/>
      <c r="DYM217"/>
      <c r="DYN217"/>
      <c r="DYO217"/>
      <c r="DYP217"/>
      <c r="DYQ217"/>
      <c r="DYR217"/>
      <c r="DYS217"/>
      <c r="DYT217"/>
      <c r="DYU217"/>
      <c r="DYV217"/>
      <c r="DYW217"/>
      <c r="DYX217"/>
      <c r="DYY217"/>
      <c r="DYZ217"/>
      <c r="DZA217"/>
      <c r="DZB217"/>
      <c r="DZC217"/>
      <c r="DZD217"/>
      <c r="DZE217"/>
      <c r="DZF217"/>
      <c r="DZG217"/>
      <c r="DZH217"/>
      <c r="DZI217"/>
      <c r="DZJ217"/>
      <c r="DZK217"/>
      <c r="DZL217"/>
      <c r="DZM217"/>
      <c r="DZN217"/>
      <c r="DZO217"/>
      <c r="DZP217"/>
      <c r="DZQ217"/>
      <c r="DZR217"/>
      <c r="DZS217"/>
      <c r="DZT217"/>
      <c r="DZU217"/>
      <c r="DZV217"/>
      <c r="DZW217"/>
      <c r="DZX217"/>
      <c r="DZY217"/>
      <c r="DZZ217"/>
      <c r="EAA217"/>
      <c r="EAB217"/>
      <c r="EAC217"/>
      <c r="EAD217"/>
      <c r="EAE217"/>
      <c r="EAF217"/>
      <c r="EAG217"/>
      <c r="EAH217"/>
      <c r="EAI217"/>
      <c r="EAJ217"/>
      <c r="EAK217"/>
      <c r="EAL217"/>
      <c r="EAM217"/>
      <c r="EAN217"/>
      <c r="EAO217"/>
      <c r="EAP217"/>
      <c r="EAQ217"/>
      <c r="EAR217"/>
      <c r="EAS217"/>
      <c r="EAT217"/>
      <c r="EAU217"/>
      <c r="EAV217"/>
      <c r="EAW217"/>
      <c r="EAX217"/>
      <c r="EAY217"/>
      <c r="EAZ217"/>
      <c r="EBA217"/>
      <c r="EBB217"/>
      <c r="EBC217"/>
      <c r="EBD217"/>
      <c r="EBE217"/>
      <c r="EBF217"/>
      <c r="EBG217"/>
      <c r="EBH217"/>
      <c r="EBI217"/>
      <c r="EBJ217"/>
      <c r="EBK217"/>
      <c r="EBL217"/>
      <c r="EBM217"/>
      <c r="EBN217"/>
      <c r="EBO217"/>
      <c r="EBP217"/>
      <c r="EBQ217"/>
      <c r="EBR217"/>
      <c r="EBS217"/>
      <c r="EBT217"/>
      <c r="EBU217"/>
      <c r="EBV217"/>
      <c r="EBW217"/>
      <c r="EBX217"/>
      <c r="EBY217"/>
      <c r="EBZ217"/>
      <c r="ECA217"/>
      <c r="ECB217"/>
      <c r="ECC217"/>
      <c r="ECD217"/>
      <c r="ECE217"/>
      <c r="ECF217"/>
      <c r="ECG217"/>
      <c r="ECH217"/>
      <c r="ECI217"/>
      <c r="ECJ217"/>
      <c r="ECK217"/>
      <c r="ECL217"/>
      <c r="ECM217"/>
      <c r="ECN217"/>
      <c r="ECO217"/>
      <c r="ECP217"/>
      <c r="ECQ217"/>
      <c r="ECR217"/>
      <c r="ECS217"/>
      <c r="ECT217"/>
      <c r="ECU217"/>
      <c r="ECV217"/>
      <c r="ECW217"/>
      <c r="ECX217"/>
      <c r="ECY217"/>
      <c r="ECZ217"/>
      <c r="EDA217"/>
      <c r="EDB217"/>
      <c r="EDC217"/>
      <c r="EDD217"/>
      <c r="EDE217"/>
      <c r="EDF217"/>
      <c r="EDG217"/>
      <c r="EDH217"/>
      <c r="EDI217"/>
      <c r="EDJ217"/>
      <c r="EDK217"/>
      <c r="EDL217"/>
      <c r="EDM217"/>
      <c r="EDN217"/>
      <c r="EDO217"/>
      <c r="EDP217"/>
      <c r="EDQ217"/>
      <c r="EDR217"/>
      <c r="EDS217"/>
      <c r="EDT217"/>
      <c r="EDU217"/>
      <c r="EDV217"/>
      <c r="EDW217"/>
      <c r="EDX217"/>
      <c r="EDY217"/>
      <c r="EDZ217"/>
      <c r="EEA217"/>
      <c r="EEB217"/>
      <c r="EEC217"/>
      <c r="EED217"/>
      <c r="EEE217"/>
      <c r="EEF217"/>
      <c r="EEG217"/>
      <c r="EEH217"/>
      <c r="EEI217"/>
      <c r="EEJ217"/>
      <c r="EEK217"/>
      <c r="EEL217"/>
      <c r="EEM217"/>
      <c r="EEN217"/>
      <c r="EEO217"/>
      <c r="EEP217"/>
      <c r="EEQ217"/>
      <c r="EER217"/>
      <c r="EES217"/>
      <c r="EET217"/>
      <c r="EEU217"/>
      <c r="EEV217"/>
      <c r="EEW217"/>
      <c r="EEX217"/>
      <c r="EEY217"/>
      <c r="EEZ217"/>
      <c r="EFA217"/>
      <c r="EFB217"/>
      <c r="EFC217"/>
      <c r="EFD217"/>
      <c r="EFE217"/>
      <c r="EFF217"/>
      <c r="EFG217"/>
      <c r="EFH217"/>
      <c r="EFI217"/>
      <c r="EFJ217"/>
      <c r="EFK217"/>
      <c r="EFL217"/>
      <c r="EFM217"/>
      <c r="EFN217"/>
      <c r="EFO217"/>
      <c r="EFP217"/>
      <c r="EFQ217"/>
      <c r="EFR217"/>
      <c r="EFS217"/>
      <c r="EFT217"/>
      <c r="EFU217"/>
      <c r="EFV217"/>
      <c r="EFW217"/>
      <c r="EFX217"/>
      <c r="EFY217"/>
      <c r="EFZ217"/>
      <c r="EGA217"/>
      <c r="EGB217"/>
      <c r="EGC217"/>
      <c r="EGD217"/>
      <c r="EGE217"/>
      <c r="EGF217"/>
      <c r="EGG217"/>
      <c r="EGH217"/>
      <c r="EGI217"/>
      <c r="EGJ217"/>
      <c r="EGK217"/>
      <c r="EGL217"/>
      <c r="EGM217"/>
      <c r="EGN217"/>
      <c r="EGO217"/>
      <c r="EGP217"/>
      <c r="EGQ217"/>
      <c r="EGR217"/>
      <c r="EGS217"/>
      <c r="EGT217"/>
      <c r="EGU217"/>
      <c r="EGV217"/>
      <c r="EGW217"/>
      <c r="EGX217"/>
      <c r="EGY217"/>
      <c r="EGZ217"/>
      <c r="EHA217"/>
      <c r="EHB217"/>
      <c r="EHC217"/>
      <c r="EHD217"/>
      <c r="EHE217"/>
      <c r="EHF217"/>
      <c r="EHG217"/>
      <c r="EHH217"/>
      <c r="EHI217"/>
      <c r="EHJ217"/>
      <c r="EHK217"/>
      <c r="EHL217"/>
      <c r="EHM217"/>
      <c r="EHN217"/>
      <c r="EHO217"/>
      <c r="EHP217"/>
      <c r="EHQ217"/>
      <c r="EHR217"/>
      <c r="EHS217"/>
      <c r="EHT217"/>
      <c r="EHU217"/>
      <c r="EHV217"/>
      <c r="EHW217"/>
      <c r="EHX217"/>
      <c r="EHY217"/>
      <c r="EHZ217"/>
      <c r="EIA217"/>
      <c r="EIB217"/>
      <c r="EIC217"/>
      <c r="EID217"/>
      <c r="EIE217"/>
      <c r="EIF217"/>
      <c r="EIG217"/>
      <c r="EIH217"/>
      <c r="EII217"/>
      <c r="EIJ217"/>
      <c r="EIK217"/>
      <c r="EIL217"/>
      <c r="EIM217"/>
      <c r="EIN217"/>
      <c r="EIO217"/>
      <c r="EIP217"/>
      <c r="EIQ217"/>
      <c r="EIR217"/>
      <c r="EIS217"/>
      <c r="EIT217"/>
      <c r="EIU217"/>
      <c r="EIV217"/>
      <c r="EIW217"/>
      <c r="EIX217"/>
      <c r="EIY217"/>
      <c r="EIZ217"/>
      <c r="EJA217"/>
      <c r="EJB217"/>
      <c r="EJC217"/>
      <c r="EJD217"/>
      <c r="EJE217"/>
      <c r="EJF217"/>
      <c r="EJG217"/>
      <c r="EJH217"/>
      <c r="EJI217"/>
      <c r="EJJ217"/>
      <c r="EJK217"/>
      <c r="EJL217"/>
      <c r="EJM217"/>
      <c r="EJN217"/>
      <c r="EJO217"/>
      <c r="EJP217"/>
      <c r="EJQ217"/>
      <c r="EJR217"/>
      <c r="EJS217"/>
      <c r="EJT217"/>
      <c r="EJU217"/>
      <c r="EJV217"/>
      <c r="EJW217"/>
      <c r="EJX217"/>
      <c r="EJY217"/>
      <c r="EJZ217"/>
      <c r="EKA217"/>
      <c r="EKB217"/>
      <c r="EKC217"/>
      <c r="EKD217"/>
      <c r="EKE217"/>
      <c r="EKF217"/>
      <c r="EKG217"/>
      <c r="EKH217"/>
      <c r="EKI217"/>
      <c r="EKJ217"/>
      <c r="EKK217"/>
      <c r="EKL217"/>
      <c r="EKM217"/>
      <c r="EKN217"/>
      <c r="EKO217"/>
      <c r="EKP217"/>
      <c r="EKQ217"/>
      <c r="EKR217"/>
      <c r="EKS217"/>
      <c r="EKT217"/>
      <c r="EKU217"/>
      <c r="EKV217"/>
      <c r="EKW217"/>
      <c r="EKX217"/>
      <c r="EKY217"/>
      <c r="EKZ217"/>
      <c r="ELA217"/>
      <c r="ELB217"/>
      <c r="ELC217"/>
      <c r="ELD217"/>
      <c r="ELE217"/>
      <c r="ELF217"/>
      <c r="ELG217"/>
      <c r="ELH217"/>
      <c r="ELI217"/>
      <c r="ELJ217"/>
      <c r="ELK217"/>
      <c r="ELL217"/>
      <c r="ELM217"/>
      <c r="ELN217"/>
      <c r="ELO217"/>
      <c r="ELP217"/>
      <c r="ELQ217"/>
      <c r="ELR217"/>
      <c r="ELS217"/>
      <c r="ELT217"/>
      <c r="ELU217"/>
      <c r="ELV217"/>
      <c r="ELW217"/>
      <c r="ELX217"/>
      <c r="ELY217"/>
      <c r="ELZ217"/>
      <c r="EMA217"/>
      <c r="EMB217"/>
      <c r="EMC217"/>
      <c r="EMD217"/>
      <c r="EME217"/>
      <c r="EMF217"/>
      <c r="EMG217"/>
      <c r="EMH217"/>
      <c r="EMI217"/>
      <c r="EMJ217"/>
      <c r="EMK217"/>
      <c r="EML217"/>
      <c r="EMM217"/>
      <c r="EMN217"/>
      <c r="EMO217"/>
      <c r="EMP217"/>
      <c r="EMQ217"/>
      <c r="EMR217"/>
      <c r="EMS217"/>
      <c r="EMT217"/>
      <c r="EMU217"/>
      <c r="EMV217"/>
      <c r="EMW217"/>
      <c r="EMX217"/>
      <c r="EMY217"/>
      <c r="EMZ217"/>
      <c r="ENA217"/>
      <c r="ENB217"/>
      <c r="ENC217"/>
      <c r="END217"/>
      <c r="ENE217"/>
      <c r="ENF217"/>
      <c r="ENG217"/>
      <c r="ENH217"/>
      <c r="ENI217"/>
      <c r="ENJ217"/>
      <c r="ENK217"/>
      <c r="ENL217"/>
      <c r="ENM217"/>
      <c r="ENN217"/>
      <c r="ENO217"/>
      <c r="ENP217"/>
      <c r="ENQ217"/>
      <c r="ENR217"/>
      <c r="ENS217"/>
      <c r="ENT217"/>
      <c r="ENU217"/>
      <c r="ENV217"/>
      <c r="ENW217"/>
      <c r="ENX217"/>
      <c r="ENY217"/>
      <c r="ENZ217"/>
      <c r="EOA217"/>
      <c r="EOB217"/>
      <c r="EOC217"/>
      <c r="EOD217"/>
      <c r="EOE217"/>
      <c r="EOF217"/>
      <c r="EOG217"/>
      <c r="EOH217"/>
      <c r="EOI217"/>
      <c r="EOJ217"/>
      <c r="EOK217"/>
      <c r="EOL217"/>
      <c r="EOM217"/>
      <c r="EON217"/>
      <c r="EOO217"/>
      <c r="EOP217"/>
      <c r="EOQ217"/>
      <c r="EOR217"/>
      <c r="EOS217"/>
      <c r="EOT217"/>
      <c r="EOU217"/>
      <c r="EOV217"/>
      <c r="EOW217"/>
      <c r="EOX217"/>
      <c r="EOY217"/>
      <c r="EOZ217"/>
      <c r="EPA217"/>
      <c r="EPB217"/>
      <c r="EPC217"/>
      <c r="EPD217"/>
      <c r="EPE217"/>
      <c r="EPF217"/>
      <c r="EPG217"/>
      <c r="EPH217"/>
      <c r="EPI217"/>
      <c r="EPJ217"/>
      <c r="EPK217"/>
      <c r="EPL217"/>
      <c r="EPM217"/>
      <c r="EPN217"/>
      <c r="EPO217"/>
      <c r="EPP217"/>
      <c r="EPQ217"/>
      <c r="EPR217"/>
      <c r="EPS217"/>
      <c r="EPT217"/>
      <c r="EPU217"/>
      <c r="EPV217"/>
      <c r="EPW217"/>
      <c r="EPX217"/>
      <c r="EPY217"/>
      <c r="EPZ217"/>
      <c r="EQA217"/>
      <c r="EQB217"/>
      <c r="EQC217"/>
      <c r="EQD217"/>
      <c r="EQE217"/>
      <c r="EQF217"/>
      <c r="EQG217"/>
      <c r="EQH217"/>
      <c r="EQI217"/>
      <c r="EQJ217"/>
      <c r="EQK217"/>
      <c r="EQL217"/>
      <c r="EQM217"/>
      <c r="EQN217"/>
      <c r="EQO217"/>
      <c r="EQP217"/>
      <c r="EQQ217"/>
      <c r="EQR217"/>
      <c r="EQS217"/>
      <c r="EQT217"/>
      <c r="EQU217"/>
      <c r="EQV217"/>
      <c r="EQW217"/>
      <c r="EQX217"/>
      <c r="EQY217"/>
      <c r="EQZ217"/>
      <c r="ERA217"/>
      <c r="ERB217"/>
      <c r="ERC217"/>
      <c r="ERD217"/>
      <c r="ERE217"/>
      <c r="ERF217"/>
      <c r="ERG217"/>
      <c r="ERH217"/>
      <c r="ERI217"/>
      <c r="ERJ217"/>
      <c r="ERK217"/>
      <c r="ERL217"/>
      <c r="ERM217"/>
      <c r="ERN217"/>
      <c r="ERO217"/>
      <c r="ERP217"/>
      <c r="ERQ217"/>
      <c r="ERR217"/>
      <c r="ERS217"/>
      <c r="ERT217"/>
      <c r="ERU217"/>
      <c r="ERV217"/>
      <c r="ERW217"/>
      <c r="ERX217"/>
      <c r="ERY217"/>
      <c r="ERZ217"/>
      <c r="ESA217"/>
      <c r="ESB217"/>
      <c r="ESC217"/>
      <c r="ESD217"/>
      <c r="ESE217"/>
      <c r="ESF217"/>
      <c r="ESG217"/>
      <c r="ESH217"/>
      <c r="ESI217"/>
      <c r="ESJ217"/>
      <c r="ESK217"/>
      <c r="ESL217"/>
      <c r="ESM217"/>
      <c r="ESN217"/>
      <c r="ESO217"/>
      <c r="ESP217"/>
      <c r="ESQ217"/>
      <c r="ESR217"/>
      <c r="ESS217"/>
      <c r="EST217"/>
      <c r="ESU217"/>
      <c r="ESV217"/>
      <c r="ESW217"/>
      <c r="ESX217"/>
      <c r="ESY217"/>
      <c r="ESZ217"/>
      <c r="ETA217"/>
      <c r="ETB217"/>
      <c r="ETC217"/>
      <c r="ETD217"/>
      <c r="ETE217"/>
      <c r="ETF217"/>
      <c r="ETG217"/>
      <c r="ETH217"/>
      <c r="ETI217"/>
      <c r="ETJ217"/>
      <c r="ETK217"/>
      <c r="ETL217"/>
      <c r="ETM217"/>
      <c r="ETN217"/>
      <c r="ETO217"/>
      <c r="ETP217"/>
      <c r="ETQ217"/>
      <c r="ETR217"/>
      <c r="ETS217"/>
      <c r="ETT217"/>
      <c r="ETU217"/>
      <c r="ETV217"/>
      <c r="ETW217"/>
      <c r="ETX217"/>
      <c r="ETY217"/>
      <c r="ETZ217"/>
      <c r="EUA217"/>
      <c r="EUB217"/>
      <c r="EUC217"/>
      <c r="EUD217"/>
      <c r="EUE217"/>
      <c r="EUF217"/>
      <c r="EUG217"/>
      <c r="EUH217"/>
      <c r="EUI217"/>
      <c r="EUJ217"/>
      <c r="EUK217"/>
      <c r="EUL217"/>
      <c r="EUM217"/>
      <c r="EUN217"/>
      <c r="EUO217"/>
      <c r="EUP217"/>
      <c r="EUQ217"/>
      <c r="EUR217"/>
      <c r="EUS217"/>
      <c r="EUT217"/>
      <c r="EUU217"/>
      <c r="EUV217"/>
      <c r="EUW217"/>
      <c r="EUX217"/>
      <c r="EUY217"/>
      <c r="EUZ217"/>
      <c r="EVA217"/>
      <c r="EVB217"/>
      <c r="EVC217"/>
      <c r="EVD217"/>
      <c r="EVE217"/>
      <c r="EVF217"/>
      <c r="EVG217"/>
      <c r="EVH217"/>
      <c r="EVI217"/>
      <c r="EVJ217"/>
      <c r="EVK217"/>
      <c r="EVL217"/>
      <c r="EVM217"/>
      <c r="EVN217"/>
      <c r="EVO217"/>
      <c r="EVP217"/>
      <c r="EVQ217"/>
      <c r="EVR217"/>
      <c r="EVS217"/>
      <c r="EVT217"/>
      <c r="EVU217"/>
      <c r="EVV217"/>
      <c r="EVW217"/>
      <c r="EVX217"/>
      <c r="EVY217"/>
      <c r="EVZ217"/>
      <c r="EWA217"/>
      <c r="EWB217"/>
      <c r="EWC217"/>
      <c r="EWD217"/>
      <c r="EWE217"/>
      <c r="EWF217"/>
      <c r="EWG217"/>
      <c r="EWH217"/>
      <c r="EWI217"/>
      <c r="EWJ217"/>
      <c r="EWK217"/>
      <c r="EWL217"/>
      <c r="EWM217"/>
      <c r="EWN217"/>
      <c r="EWO217"/>
      <c r="EWP217"/>
      <c r="EWQ217"/>
      <c r="EWR217"/>
      <c r="EWS217"/>
      <c r="EWT217"/>
      <c r="EWU217"/>
      <c r="EWV217"/>
      <c r="EWW217"/>
      <c r="EWX217"/>
      <c r="EWY217"/>
      <c r="EWZ217"/>
      <c r="EXA217"/>
      <c r="EXB217"/>
      <c r="EXC217"/>
      <c r="EXD217"/>
      <c r="EXE217"/>
      <c r="EXF217"/>
      <c r="EXG217"/>
      <c r="EXH217"/>
      <c r="EXI217"/>
      <c r="EXJ217"/>
      <c r="EXK217"/>
      <c r="EXL217"/>
      <c r="EXM217"/>
      <c r="EXN217"/>
      <c r="EXO217"/>
      <c r="EXP217"/>
      <c r="EXQ217"/>
      <c r="EXR217"/>
      <c r="EXS217"/>
      <c r="EXT217"/>
      <c r="EXU217"/>
      <c r="EXV217"/>
      <c r="EXW217"/>
      <c r="EXX217"/>
      <c r="EXY217"/>
      <c r="EXZ217"/>
      <c r="EYA217"/>
      <c r="EYB217"/>
      <c r="EYC217"/>
      <c r="EYD217"/>
      <c r="EYE217"/>
      <c r="EYF217"/>
      <c r="EYG217"/>
      <c r="EYH217"/>
      <c r="EYI217"/>
      <c r="EYJ217"/>
      <c r="EYK217"/>
      <c r="EYL217"/>
      <c r="EYM217"/>
      <c r="EYN217"/>
      <c r="EYO217"/>
      <c r="EYP217"/>
      <c r="EYQ217"/>
      <c r="EYR217"/>
      <c r="EYS217"/>
      <c r="EYT217"/>
      <c r="EYU217"/>
      <c r="EYV217"/>
      <c r="EYW217"/>
      <c r="EYX217"/>
      <c r="EYY217"/>
      <c r="EYZ217"/>
      <c r="EZA217"/>
      <c r="EZB217"/>
      <c r="EZC217"/>
      <c r="EZD217"/>
      <c r="EZE217"/>
      <c r="EZF217"/>
      <c r="EZG217"/>
      <c r="EZH217"/>
      <c r="EZI217"/>
      <c r="EZJ217"/>
      <c r="EZK217"/>
      <c r="EZL217"/>
      <c r="EZM217"/>
      <c r="EZN217"/>
      <c r="EZO217"/>
      <c r="EZP217"/>
      <c r="EZQ217"/>
      <c r="EZR217"/>
      <c r="EZS217"/>
      <c r="EZT217"/>
      <c r="EZU217"/>
      <c r="EZV217"/>
      <c r="EZW217"/>
      <c r="EZX217"/>
      <c r="EZY217"/>
      <c r="EZZ217"/>
      <c r="FAA217"/>
      <c r="FAB217"/>
      <c r="FAC217"/>
      <c r="FAD217"/>
      <c r="FAE217"/>
      <c r="FAF217"/>
      <c r="FAG217"/>
      <c r="FAH217"/>
      <c r="FAI217"/>
      <c r="FAJ217"/>
      <c r="FAK217"/>
      <c r="FAL217"/>
      <c r="FAM217"/>
      <c r="FAN217"/>
      <c r="FAO217"/>
      <c r="FAP217"/>
      <c r="FAQ217"/>
      <c r="FAR217"/>
      <c r="FAS217"/>
      <c r="FAT217"/>
      <c r="FAU217"/>
      <c r="FAV217"/>
      <c r="FAW217"/>
      <c r="FAX217"/>
      <c r="FAY217"/>
      <c r="FAZ217"/>
      <c r="FBA217"/>
      <c r="FBB217"/>
      <c r="FBC217"/>
      <c r="FBD217"/>
      <c r="FBE217"/>
      <c r="FBF217"/>
      <c r="FBG217"/>
      <c r="FBH217"/>
      <c r="FBI217"/>
      <c r="FBJ217"/>
      <c r="FBK217"/>
      <c r="FBL217"/>
      <c r="FBM217"/>
      <c r="FBN217"/>
      <c r="FBO217"/>
      <c r="FBP217"/>
      <c r="FBQ217"/>
      <c r="FBR217"/>
      <c r="FBS217"/>
      <c r="FBT217"/>
      <c r="FBU217"/>
      <c r="FBV217"/>
      <c r="FBW217"/>
      <c r="FBX217"/>
      <c r="FBY217"/>
      <c r="FBZ217"/>
      <c r="FCA217"/>
      <c r="FCB217"/>
      <c r="FCC217"/>
      <c r="FCD217"/>
      <c r="FCE217"/>
      <c r="FCF217"/>
      <c r="FCG217"/>
      <c r="FCH217"/>
      <c r="FCI217"/>
      <c r="FCJ217"/>
      <c r="FCK217"/>
      <c r="FCL217"/>
      <c r="FCM217"/>
      <c r="FCN217"/>
      <c r="FCO217"/>
      <c r="FCP217"/>
      <c r="FCQ217"/>
      <c r="FCR217"/>
      <c r="FCS217"/>
      <c r="FCT217"/>
      <c r="FCU217"/>
      <c r="FCV217"/>
      <c r="FCW217"/>
      <c r="FCX217"/>
      <c r="FCY217"/>
      <c r="FCZ217"/>
      <c r="FDA217"/>
      <c r="FDB217"/>
      <c r="FDC217"/>
      <c r="FDD217"/>
      <c r="FDE217"/>
      <c r="FDF217"/>
      <c r="FDG217"/>
      <c r="FDH217"/>
      <c r="FDI217"/>
      <c r="FDJ217"/>
      <c r="FDK217"/>
      <c r="FDL217"/>
      <c r="FDM217"/>
      <c r="FDN217"/>
      <c r="FDO217"/>
      <c r="FDP217"/>
      <c r="FDQ217"/>
      <c r="FDR217"/>
      <c r="FDS217"/>
      <c r="FDT217"/>
      <c r="FDU217"/>
      <c r="FDV217"/>
      <c r="FDW217"/>
      <c r="FDX217"/>
      <c r="FDY217"/>
      <c r="FDZ217"/>
      <c r="FEA217"/>
      <c r="FEB217"/>
      <c r="FEC217"/>
      <c r="FED217"/>
      <c r="FEE217"/>
      <c r="FEF217"/>
      <c r="FEG217"/>
      <c r="FEH217"/>
      <c r="FEI217"/>
      <c r="FEJ217"/>
      <c r="FEK217"/>
      <c r="FEL217"/>
      <c r="FEM217"/>
      <c r="FEN217"/>
      <c r="FEO217"/>
      <c r="FEP217"/>
      <c r="FEQ217"/>
      <c r="FER217"/>
      <c r="FES217"/>
      <c r="FET217"/>
      <c r="FEU217"/>
      <c r="FEV217"/>
      <c r="FEW217"/>
      <c r="FEX217"/>
      <c r="FEY217"/>
      <c r="FEZ217"/>
      <c r="FFA217"/>
      <c r="FFB217"/>
      <c r="FFC217"/>
      <c r="FFD217"/>
      <c r="FFE217"/>
      <c r="FFF217"/>
      <c r="FFG217"/>
      <c r="FFH217"/>
      <c r="FFI217"/>
      <c r="FFJ217"/>
      <c r="FFK217"/>
      <c r="FFL217"/>
      <c r="FFM217"/>
      <c r="FFN217"/>
      <c r="FFO217"/>
      <c r="FFP217"/>
      <c r="FFQ217"/>
      <c r="FFR217"/>
      <c r="FFS217"/>
      <c r="FFT217"/>
      <c r="FFU217"/>
      <c r="FFV217"/>
      <c r="FFW217"/>
      <c r="FFX217"/>
      <c r="FFY217"/>
      <c r="FFZ217"/>
      <c r="FGA217"/>
      <c r="FGB217"/>
      <c r="FGC217"/>
      <c r="FGD217"/>
      <c r="FGE217"/>
      <c r="FGF217"/>
      <c r="FGG217"/>
      <c r="FGH217"/>
      <c r="FGI217"/>
      <c r="FGJ217"/>
      <c r="FGK217"/>
      <c r="FGL217"/>
      <c r="FGM217"/>
      <c r="FGN217"/>
      <c r="FGO217"/>
      <c r="FGP217"/>
      <c r="FGQ217"/>
      <c r="FGR217"/>
      <c r="FGS217"/>
      <c r="FGT217"/>
      <c r="FGU217"/>
      <c r="FGV217"/>
      <c r="FGW217"/>
      <c r="FGX217"/>
      <c r="FGY217"/>
      <c r="FGZ217"/>
      <c r="FHA217"/>
      <c r="FHB217"/>
      <c r="FHC217"/>
      <c r="FHD217"/>
      <c r="FHE217"/>
      <c r="FHF217"/>
      <c r="FHG217"/>
      <c r="FHH217"/>
      <c r="FHI217"/>
      <c r="FHJ217"/>
      <c r="FHK217"/>
      <c r="FHL217"/>
      <c r="FHM217"/>
      <c r="FHN217"/>
      <c r="FHO217"/>
      <c r="FHP217"/>
      <c r="FHQ217"/>
      <c r="FHR217"/>
      <c r="FHS217"/>
      <c r="FHT217"/>
      <c r="FHU217"/>
      <c r="FHV217"/>
      <c r="FHW217"/>
      <c r="FHX217"/>
      <c r="FHY217"/>
      <c r="FHZ217"/>
      <c r="FIA217"/>
      <c r="FIB217"/>
      <c r="FIC217"/>
      <c r="FID217"/>
      <c r="FIE217"/>
      <c r="FIF217"/>
      <c r="FIG217"/>
      <c r="FIH217"/>
      <c r="FII217"/>
      <c r="FIJ217"/>
      <c r="FIK217"/>
      <c r="FIL217"/>
      <c r="FIM217"/>
      <c r="FIN217"/>
      <c r="FIO217"/>
      <c r="FIP217"/>
      <c r="FIQ217"/>
      <c r="FIR217"/>
      <c r="FIS217"/>
      <c r="FIT217"/>
      <c r="FIU217"/>
      <c r="FIV217"/>
      <c r="FIW217"/>
      <c r="FIX217"/>
      <c r="FIY217"/>
      <c r="FIZ217"/>
      <c r="FJA217"/>
      <c r="FJB217"/>
      <c r="FJC217"/>
      <c r="FJD217"/>
      <c r="FJE217"/>
      <c r="FJF217"/>
      <c r="FJG217"/>
      <c r="FJH217"/>
      <c r="FJI217"/>
      <c r="FJJ217"/>
      <c r="FJK217"/>
      <c r="FJL217"/>
      <c r="FJM217"/>
      <c r="FJN217"/>
      <c r="FJO217"/>
      <c r="FJP217"/>
      <c r="FJQ217"/>
      <c r="FJR217"/>
      <c r="FJS217"/>
      <c r="FJT217"/>
      <c r="FJU217"/>
      <c r="FJV217"/>
      <c r="FJW217"/>
      <c r="FJX217"/>
      <c r="FJY217"/>
      <c r="FJZ217"/>
      <c r="FKA217"/>
      <c r="FKB217"/>
      <c r="FKC217"/>
      <c r="FKD217"/>
      <c r="FKE217"/>
      <c r="FKF217"/>
      <c r="FKG217"/>
      <c r="FKH217"/>
      <c r="FKI217"/>
      <c r="FKJ217"/>
      <c r="FKK217"/>
      <c r="FKL217"/>
      <c r="FKM217"/>
      <c r="FKN217"/>
      <c r="FKO217"/>
      <c r="FKP217"/>
      <c r="FKQ217"/>
      <c r="FKR217"/>
      <c r="FKS217"/>
      <c r="FKT217"/>
      <c r="FKU217"/>
      <c r="FKV217"/>
      <c r="FKW217"/>
      <c r="FKX217"/>
      <c r="FKY217"/>
      <c r="FKZ217"/>
      <c r="FLA217"/>
      <c r="FLB217"/>
      <c r="FLC217"/>
      <c r="FLD217"/>
      <c r="FLE217"/>
      <c r="FLF217"/>
      <c r="FLG217"/>
      <c r="FLH217"/>
      <c r="FLI217"/>
      <c r="FLJ217"/>
      <c r="FLK217"/>
      <c r="FLL217"/>
      <c r="FLM217"/>
      <c r="FLN217"/>
      <c r="FLO217"/>
      <c r="FLP217"/>
      <c r="FLQ217"/>
      <c r="FLR217"/>
      <c r="FLS217"/>
      <c r="FLT217"/>
      <c r="FLU217"/>
      <c r="FLV217"/>
      <c r="FLW217"/>
      <c r="FLX217"/>
      <c r="FLY217"/>
      <c r="FLZ217"/>
      <c r="FMA217"/>
      <c r="FMB217"/>
      <c r="FMC217"/>
      <c r="FMD217"/>
      <c r="FME217"/>
      <c r="FMF217"/>
      <c r="FMG217"/>
      <c r="FMH217"/>
      <c r="FMI217"/>
      <c r="FMJ217"/>
      <c r="FMK217"/>
      <c r="FML217"/>
      <c r="FMM217"/>
      <c r="FMN217"/>
      <c r="FMO217"/>
      <c r="FMP217"/>
      <c r="FMQ217"/>
      <c r="FMR217"/>
      <c r="FMS217"/>
      <c r="FMT217"/>
      <c r="FMU217"/>
      <c r="FMV217"/>
      <c r="FMW217"/>
      <c r="FMX217"/>
      <c r="FMY217"/>
      <c r="FMZ217"/>
      <c r="FNA217"/>
      <c r="FNB217"/>
      <c r="FNC217"/>
      <c r="FND217"/>
      <c r="FNE217"/>
      <c r="FNF217"/>
      <c r="FNG217"/>
      <c r="FNH217"/>
      <c r="FNI217"/>
      <c r="FNJ217"/>
      <c r="FNK217"/>
      <c r="FNL217"/>
      <c r="FNM217"/>
      <c r="FNN217"/>
      <c r="FNO217"/>
      <c r="FNP217"/>
      <c r="FNQ217"/>
      <c r="FNR217"/>
      <c r="FNS217"/>
      <c r="FNT217"/>
      <c r="FNU217"/>
      <c r="FNV217"/>
      <c r="FNW217"/>
      <c r="FNX217"/>
      <c r="FNY217"/>
      <c r="FNZ217"/>
      <c r="FOA217"/>
      <c r="FOB217"/>
      <c r="FOC217"/>
      <c r="FOD217"/>
      <c r="FOE217"/>
      <c r="FOF217"/>
      <c r="FOG217"/>
      <c r="FOH217"/>
      <c r="FOI217"/>
      <c r="FOJ217"/>
      <c r="FOK217"/>
      <c r="FOL217"/>
      <c r="FOM217"/>
      <c r="FON217"/>
      <c r="FOO217"/>
      <c r="FOP217"/>
      <c r="FOQ217"/>
      <c r="FOR217"/>
      <c r="FOS217"/>
      <c r="FOT217"/>
      <c r="FOU217"/>
      <c r="FOV217"/>
      <c r="FOW217"/>
      <c r="FOX217"/>
      <c r="FOY217"/>
      <c r="FOZ217"/>
      <c r="FPA217"/>
      <c r="FPB217"/>
      <c r="FPC217"/>
      <c r="FPD217"/>
      <c r="FPE217"/>
      <c r="FPF217"/>
      <c r="FPG217"/>
      <c r="FPH217"/>
      <c r="FPI217"/>
      <c r="FPJ217"/>
      <c r="FPK217"/>
      <c r="FPL217"/>
      <c r="FPM217"/>
      <c r="FPN217"/>
      <c r="FPO217"/>
      <c r="FPP217"/>
      <c r="FPQ217"/>
      <c r="FPR217"/>
      <c r="FPS217"/>
      <c r="FPT217"/>
      <c r="FPU217"/>
      <c r="FPV217"/>
      <c r="FPW217"/>
      <c r="FPX217"/>
      <c r="FPY217"/>
      <c r="FPZ217"/>
      <c r="FQA217"/>
      <c r="FQB217"/>
      <c r="FQC217"/>
      <c r="FQD217"/>
      <c r="FQE217"/>
      <c r="FQF217"/>
      <c r="FQG217"/>
      <c r="FQH217"/>
      <c r="FQI217"/>
      <c r="FQJ217"/>
      <c r="FQK217"/>
      <c r="FQL217"/>
      <c r="FQM217"/>
      <c r="FQN217"/>
      <c r="FQO217"/>
      <c r="FQP217"/>
      <c r="FQQ217"/>
      <c r="FQR217"/>
      <c r="FQS217"/>
      <c r="FQT217"/>
      <c r="FQU217"/>
      <c r="FQV217"/>
      <c r="FQW217"/>
      <c r="FQX217"/>
      <c r="FQY217"/>
      <c r="FQZ217"/>
      <c r="FRA217"/>
      <c r="FRB217"/>
      <c r="FRC217"/>
      <c r="FRD217"/>
      <c r="FRE217"/>
      <c r="FRF217"/>
      <c r="FRG217"/>
      <c r="FRH217"/>
      <c r="FRI217"/>
      <c r="FRJ217"/>
      <c r="FRK217"/>
      <c r="FRL217"/>
      <c r="FRM217"/>
      <c r="FRN217"/>
      <c r="FRO217"/>
      <c r="FRP217"/>
      <c r="FRQ217"/>
      <c r="FRR217"/>
      <c r="FRS217"/>
      <c r="FRT217"/>
      <c r="FRU217"/>
      <c r="FRV217"/>
      <c r="FRW217"/>
      <c r="FRX217"/>
      <c r="FRY217"/>
      <c r="FRZ217"/>
      <c r="FSA217"/>
      <c r="FSB217"/>
      <c r="FSC217"/>
      <c r="FSD217"/>
      <c r="FSE217"/>
      <c r="FSF217"/>
      <c r="FSG217"/>
      <c r="FSH217"/>
      <c r="FSI217"/>
      <c r="FSJ217"/>
      <c r="FSK217"/>
      <c r="FSL217"/>
      <c r="FSM217"/>
      <c r="FSN217"/>
      <c r="FSO217"/>
      <c r="FSP217"/>
      <c r="FSQ217"/>
      <c r="FSR217"/>
      <c r="FSS217"/>
      <c r="FST217"/>
      <c r="FSU217"/>
      <c r="FSV217"/>
      <c r="FSW217"/>
      <c r="FSX217"/>
      <c r="FSY217"/>
      <c r="FSZ217"/>
      <c r="FTA217"/>
      <c r="FTB217"/>
      <c r="FTC217"/>
      <c r="FTD217"/>
      <c r="FTE217"/>
      <c r="FTF217"/>
      <c r="FTG217"/>
      <c r="FTH217"/>
      <c r="FTI217"/>
      <c r="FTJ217"/>
      <c r="FTK217"/>
      <c r="FTL217"/>
      <c r="FTM217"/>
      <c r="FTN217"/>
      <c r="FTO217"/>
      <c r="FTP217"/>
      <c r="FTQ217"/>
      <c r="FTR217"/>
      <c r="FTS217"/>
      <c r="FTT217"/>
      <c r="FTU217"/>
      <c r="FTV217"/>
      <c r="FTW217"/>
      <c r="FTX217"/>
      <c r="FTY217"/>
      <c r="FTZ217"/>
      <c r="FUA217"/>
      <c r="FUB217"/>
      <c r="FUC217"/>
      <c r="FUD217"/>
      <c r="FUE217"/>
      <c r="FUF217"/>
      <c r="FUG217"/>
      <c r="FUH217"/>
      <c r="FUI217"/>
      <c r="FUJ217"/>
      <c r="FUK217"/>
      <c r="FUL217"/>
      <c r="FUM217"/>
      <c r="FUN217"/>
      <c r="FUO217"/>
      <c r="FUP217"/>
      <c r="FUQ217"/>
      <c r="FUR217"/>
      <c r="FUS217"/>
      <c r="FUT217"/>
      <c r="FUU217"/>
      <c r="FUV217"/>
      <c r="FUW217"/>
      <c r="FUX217"/>
      <c r="FUY217"/>
      <c r="FUZ217"/>
      <c r="FVA217"/>
      <c r="FVB217"/>
      <c r="FVC217"/>
      <c r="FVD217"/>
      <c r="FVE217"/>
      <c r="FVF217"/>
      <c r="FVG217"/>
      <c r="FVH217"/>
      <c r="FVI217"/>
      <c r="FVJ217"/>
      <c r="FVK217"/>
      <c r="FVL217"/>
      <c r="FVM217"/>
      <c r="FVN217"/>
      <c r="FVO217"/>
      <c r="FVP217"/>
      <c r="FVQ217"/>
      <c r="FVR217"/>
      <c r="FVS217"/>
      <c r="FVT217"/>
      <c r="FVU217"/>
      <c r="FVV217"/>
      <c r="FVW217"/>
      <c r="FVX217"/>
      <c r="FVY217"/>
      <c r="FVZ217"/>
      <c r="FWA217"/>
      <c r="FWB217"/>
      <c r="FWC217"/>
      <c r="FWD217"/>
      <c r="FWE217"/>
      <c r="FWF217"/>
      <c r="FWG217"/>
      <c r="FWH217"/>
      <c r="FWI217"/>
      <c r="FWJ217"/>
      <c r="FWK217"/>
      <c r="FWL217"/>
      <c r="FWM217"/>
      <c r="FWN217"/>
      <c r="FWO217"/>
      <c r="FWP217"/>
      <c r="FWQ217"/>
      <c r="FWR217"/>
      <c r="FWS217"/>
      <c r="FWT217"/>
      <c r="FWU217"/>
      <c r="FWV217"/>
      <c r="FWW217"/>
      <c r="FWX217"/>
      <c r="FWY217"/>
      <c r="FWZ217"/>
      <c r="FXA217"/>
      <c r="FXB217"/>
      <c r="FXC217"/>
      <c r="FXD217"/>
      <c r="FXE217"/>
      <c r="FXF217"/>
      <c r="FXG217"/>
      <c r="FXH217"/>
      <c r="FXI217"/>
      <c r="FXJ217"/>
      <c r="FXK217"/>
      <c r="FXL217"/>
      <c r="FXM217"/>
      <c r="FXN217"/>
      <c r="FXO217"/>
      <c r="FXP217"/>
      <c r="FXQ217"/>
      <c r="FXR217"/>
      <c r="FXS217"/>
      <c r="FXT217"/>
      <c r="FXU217"/>
      <c r="FXV217"/>
      <c r="FXW217"/>
      <c r="FXX217"/>
      <c r="FXY217"/>
      <c r="FXZ217"/>
      <c r="FYA217"/>
      <c r="FYB217"/>
      <c r="FYC217"/>
      <c r="FYD217"/>
      <c r="FYE217"/>
      <c r="FYF217"/>
      <c r="FYG217"/>
      <c r="FYH217"/>
      <c r="FYI217"/>
      <c r="FYJ217"/>
      <c r="FYK217"/>
      <c r="FYL217"/>
      <c r="FYM217"/>
      <c r="FYN217"/>
      <c r="FYO217"/>
      <c r="FYP217"/>
      <c r="FYQ217"/>
      <c r="FYR217"/>
      <c r="FYS217"/>
      <c r="FYT217"/>
      <c r="FYU217"/>
      <c r="FYV217"/>
      <c r="FYW217"/>
      <c r="FYX217"/>
      <c r="FYY217"/>
      <c r="FYZ217"/>
      <c r="FZA217"/>
      <c r="FZB217"/>
      <c r="FZC217"/>
      <c r="FZD217"/>
      <c r="FZE217"/>
      <c r="FZF217"/>
      <c r="FZG217"/>
      <c r="FZH217"/>
      <c r="FZI217"/>
      <c r="FZJ217"/>
      <c r="FZK217"/>
      <c r="FZL217"/>
      <c r="FZM217"/>
      <c r="FZN217"/>
      <c r="FZO217"/>
      <c r="FZP217"/>
      <c r="FZQ217"/>
      <c r="FZR217"/>
      <c r="FZS217"/>
      <c r="FZT217"/>
      <c r="FZU217"/>
      <c r="FZV217"/>
      <c r="FZW217"/>
      <c r="FZX217"/>
      <c r="FZY217"/>
      <c r="FZZ217"/>
      <c r="GAA217"/>
      <c r="GAB217"/>
      <c r="GAC217"/>
      <c r="GAD217"/>
      <c r="GAE217"/>
      <c r="GAF217"/>
      <c r="GAG217"/>
      <c r="GAH217"/>
      <c r="GAI217"/>
      <c r="GAJ217"/>
      <c r="GAK217"/>
      <c r="GAL217"/>
      <c r="GAM217"/>
      <c r="GAN217"/>
      <c r="GAO217"/>
      <c r="GAP217"/>
      <c r="GAQ217"/>
      <c r="GAR217"/>
      <c r="GAS217"/>
      <c r="GAT217"/>
      <c r="GAU217"/>
      <c r="GAV217"/>
      <c r="GAW217"/>
      <c r="GAX217"/>
      <c r="GAY217"/>
      <c r="GAZ217"/>
      <c r="GBA217"/>
      <c r="GBB217"/>
      <c r="GBC217"/>
      <c r="GBD217"/>
      <c r="GBE217"/>
      <c r="GBF217"/>
      <c r="GBG217"/>
      <c r="GBH217"/>
      <c r="GBI217"/>
      <c r="GBJ217"/>
      <c r="GBK217"/>
      <c r="GBL217"/>
      <c r="GBM217"/>
      <c r="GBN217"/>
      <c r="GBO217"/>
      <c r="GBP217"/>
      <c r="GBQ217"/>
      <c r="GBR217"/>
      <c r="GBS217"/>
      <c r="GBT217"/>
      <c r="GBU217"/>
      <c r="GBV217"/>
      <c r="GBW217"/>
      <c r="GBX217"/>
      <c r="GBY217"/>
      <c r="GBZ217"/>
      <c r="GCA217"/>
      <c r="GCB217"/>
      <c r="GCC217"/>
      <c r="GCD217"/>
      <c r="GCE217"/>
      <c r="GCF217"/>
      <c r="GCG217"/>
      <c r="GCH217"/>
      <c r="GCI217"/>
      <c r="GCJ217"/>
      <c r="GCK217"/>
      <c r="GCL217"/>
      <c r="GCM217"/>
      <c r="GCN217"/>
      <c r="GCO217"/>
      <c r="GCP217"/>
      <c r="GCQ217"/>
      <c r="GCR217"/>
      <c r="GCS217"/>
      <c r="GCT217"/>
      <c r="GCU217"/>
      <c r="GCV217"/>
      <c r="GCW217"/>
      <c r="GCX217"/>
      <c r="GCY217"/>
      <c r="GCZ217"/>
      <c r="GDA217"/>
      <c r="GDB217"/>
      <c r="GDC217"/>
      <c r="GDD217"/>
      <c r="GDE217"/>
      <c r="GDF217"/>
      <c r="GDG217"/>
      <c r="GDH217"/>
      <c r="GDI217"/>
      <c r="GDJ217"/>
      <c r="GDK217"/>
      <c r="GDL217"/>
      <c r="GDM217"/>
      <c r="GDN217"/>
      <c r="GDO217"/>
      <c r="GDP217"/>
      <c r="GDQ217"/>
      <c r="GDR217"/>
      <c r="GDS217"/>
      <c r="GDT217"/>
      <c r="GDU217"/>
      <c r="GDV217"/>
      <c r="GDW217"/>
      <c r="GDX217"/>
      <c r="GDY217"/>
      <c r="GDZ217"/>
      <c r="GEA217"/>
      <c r="GEB217"/>
      <c r="GEC217"/>
      <c r="GED217"/>
      <c r="GEE217"/>
      <c r="GEF217"/>
      <c r="GEG217"/>
      <c r="GEH217"/>
      <c r="GEI217"/>
      <c r="GEJ217"/>
      <c r="GEK217"/>
      <c r="GEL217"/>
      <c r="GEM217"/>
      <c r="GEN217"/>
      <c r="GEO217"/>
      <c r="GEP217"/>
      <c r="GEQ217"/>
      <c r="GER217"/>
      <c r="GES217"/>
      <c r="GET217"/>
      <c r="GEU217"/>
      <c r="GEV217"/>
      <c r="GEW217"/>
      <c r="GEX217"/>
      <c r="GEY217"/>
      <c r="GEZ217"/>
      <c r="GFA217"/>
      <c r="GFB217"/>
      <c r="GFC217"/>
      <c r="GFD217"/>
      <c r="GFE217"/>
      <c r="GFF217"/>
      <c r="GFG217"/>
      <c r="GFH217"/>
      <c r="GFI217"/>
      <c r="GFJ217"/>
      <c r="GFK217"/>
      <c r="GFL217"/>
      <c r="GFM217"/>
      <c r="GFN217"/>
      <c r="GFO217"/>
      <c r="GFP217"/>
      <c r="GFQ217"/>
      <c r="GFR217"/>
      <c r="GFS217"/>
      <c r="GFT217"/>
      <c r="GFU217"/>
      <c r="GFV217"/>
      <c r="GFW217"/>
      <c r="GFX217"/>
      <c r="GFY217"/>
      <c r="GFZ217"/>
      <c r="GGA217"/>
      <c r="GGB217"/>
      <c r="GGC217"/>
      <c r="GGD217"/>
      <c r="GGE217"/>
      <c r="GGF217"/>
      <c r="GGG217"/>
      <c r="GGH217"/>
      <c r="GGI217"/>
      <c r="GGJ217"/>
      <c r="GGK217"/>
      <c r="GGL217"/>
      <c r="GGM217"/>
      <c r="GGN217"/>
      <c r="GGO217"/>
      <c r="GGP217"/>
      <c r="GGQ217"/>
      <c r="GGR217"/>
      <c r="GGS217"/>
      <c r="GGT217"/>
      <c r="GGU217"/>
      <c r="GGV217"/>
      <c r="GGW217"/>
      <c r="GGX217"/>
      <c r="GGY217"/>
      <c r="GGZ217"/>
      <c r="GHA217"/>
      <c r="GHB217"/>
      <c r="GHC217"/>
      <c r="GHD217"/>
      <c r="GHE217"/>
      <c r="GHF217"/>
      <c r="GHG217"/>
      <c r="GHH217"/>
      <c r="GHI217"/>
      <c r="GHJ217"/>
      <c r="GHK217"/>
      <c r="GHL217"/>
      <c r="GHM217"/>
      <c r="GHN217"/>
      <c r="GHO217"/>
      <c r="GHP217"/>
      <c r="GHQ217"/>
      <c r="GHR217"/>
      <c r="GHS217"/>
      <c r="GHT217"/>
      <c r="GHU217"/>
      <c r="GHV217"/>
      <c r="GHW217"/>
      <c r="GHX217"/>
      <c r="GHY217"/>
      <c r="GHZ217"/>
      <c r="GIA217"/>
      <c r="GIB217"/>
      <c r="GIC217"/>
      <c r="GID217"/>
      <c r="GIE217"/>
      <c r="GIF217"/>
      <c r="GIG217"/>
      <c r="GIH217"/>
      <c r="GII217"/>
      <c r="GIJ217"/>
      <c r="GIK217"/>
      <c r="GIL217"/>
      <c r="GIM217"/>
      <c r="GIN217"/>
      <c r="GIO217"/>
      <c r="GIP217"/>
      <c r="GIQ217"/>
      <c r="GIR217"/>
      <c r="GIS217"/>
      <c r="GIT217"/>
      <c r="GIU217"/>
      <c r="GIV217"/>
      <c r="GIW217"/>
      <c r="GIX217"/>
      <c r="GIY217"/>
      <c r="GIZ217"/>
      <c r="GJA217"/>
      <c r="GJB217"/>
      <c r="GJC217"/>
      <c r="GJD217"/>
      <c r="GJE217"/>
      <c r="GJF217"/>
      <c r="GJG217"/>
      <c r="GJH217"/>
      <c r="GJI217"/>
      <c r="GJJ217"/>
      <c r="GJK217"/>
      <c r="GJL217"/>
      <c r="GJM217"/>
      <c r="GJN217"/>
      <c r="GJO217"/>
      <c r="GJP217"/>
      <c r="GJQ217"/>
      <c r="GJR217"/>
      <c r="GJS217"/>
      <c r="GJT217"/>
      <c r="GJU217"/>
      <c r="GJV217"/>
      <c r="GJW217"/>
      <c r="GJX217"/>
      <c r="GJY217"/>
      <c r="GJZ217"/>
      <c r="GKA217"/>
      <c r="GKB217"/>
      <c r="GKC217"/>
      <c r="GKD217"/>
      <c r="GKE217"/>
      <c r="GKF217"/>
      <c r="GKG217"/>
      <c r="GKH217"/>
      <c r="GKI217"/>
      <c r="GKJ217"/>
      <c r="GKK217"/>
      <c r="GKL217"/>
      <c r="GKM217"/>
      <c r="GKN217"/>
      <c r="GKO217"/>
      <c r="GKP217"/>
      <c r="GKQ217"/>
      <c r="GKR217"/>
      <c r="GKS217"/>
      <c r="GKT217"/>
      <c r="GKU217"/>
      <c r="GKV217"/>
      <c r="GKW217"/>
      <c r="GKX217"/>
      <c r="GKY217"/>
      <c r="GKZ217"/>
      <c r="GLA217"/>
      <c r="GLB217"/>
      <c r="GLC217"/>
      <c r="GLD217"/>
      <c r="GLE217"/>
      <c r="GLF217"/>
      <c r="GLG217"/>
      <c r="GLH217"/>
      <c r="GLI217"/>
      <c r="GLJ217"/>
      <c r="GLK217"/>
    </row>
    <row r="218" spans="1:5055" s="38" customFormat="1">
      <c r="A218" s="78">
        <v>215</v>
      </c>
      <c r="B218" s="77" t="s">
        <v>174</v>
      </c>
      <c r="C218" s="33" t="s">
        <v>284</v>
      </c>
      <c r="D218" s="31" t="s">
        <v>178</v>
      </c>
      <c r="E218" s="7">
        <v>46202</v>
      </c>
      <c r="F218" s="11" t="s">
        <v>282</v>
      </c>
      <c r="G218" s="11" t="s">
        <v>281</v>
      </c>
      <c r="H218" s="4" t="s">
        <v>0</v>
      </c>
      <c r="I218" s="5">
        <v>4758</v>
      </c>
      <c r="J218" s="6" t="s">
        <v>300</v>
      </c>
      <c r="K218" s="2">
        <v>8000</v>
      </c>
      <c r="L218" s="2">
        <f t="shared" ref="L218" si="351">+K218*0.975</f>
        <v>7800</v>
      </c>
      <c r="M218" s="12">
        <f t="shared" ref="M218" si="352">+L218-K218</f>
        <v>-200</v>
      </c>
      <c r="N218" s="21">
        <f t="shared" ref="N218" si="353">+L218/K218</f>
        <v>0.97499999999999998</v>
      </c>
      <c r="O218" s="56">
        <f>E218+P218+1+3</f>
        <v>46226.830729492147</v>
      </c>
      <c r="P218" s="25">
        <f t="shared" ref="P218" si="354">+L218/Q218</f>
        <v>20.830729492146816</v>
      </c>
      <c r="Q218" s="51">
        <f t="shared" ref="Q218" si="355">630*40/60*0.975*0.9144</f>
        <v>374.4468</v>
      </c>
      <c r="R218" s="28"/>
      <c r="S218" s="28"/>
      <c r="T21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  <c r="FS218" s="28"/>
      <c r="FT218" s="28"/>
      <c r="FU218" s="28"/>
      <c r="FV218" s="28"/>
      <c r="FW218" s="28"/>
      <c r="FX218" s="28"/>
      <c r="FY218" s="28"/>
      <c r="FZ218" s="28"/>
      <c r="GA218" s="28"/>
      <c r="GB218" s="28"/>
      <c r="GC218" s="28"/>
      <c r="GD218" s="28"/>
      <c r="GE218" s="28"/>
      <c r="GF218" s="28"/>
      <c r="GG218" s="28"/>
      <c r="GH218" s="28"/>
      <c r="GI218" s="28"/>
      <c r="GJ218" s="28"/>
      <c r="GK218" s="28"/>
      <c r="GL218" s="28"/>
      <c r="GM218" s="28"/>
      <c r="GN218" s="28"/>
      <c r="GO218" s="28"/>
      <c r="GP218" s="28"/>
      <c r="GQ218" s="28"/>
      <c r="GR218" s="28"/>
      <c r="GS218" s="28"/>
      <c r="GT218" s="28"/>
      <c r="GU218" s="28"/>
      <c r="GV218" s="28"/>
      <c r="GW218" s="28"/>
      <c r="GX218" s="28"/>
      <c r="GY218" s="28"/>
      <c r="GZ218" s="28"/>
      <c r="HA218" s="28"/>
      <c r="HB218" s="28"/>
      <c r="HC218" s="28"/>
      <c r="HD218" s="28"/>
      <c r="HE218" s="28"/>
      <c r="HF218" s="28"/>
      <c r="HG218" s="28"/>
      <c r="HH218" s="28"/>
      <c r="HI218" s="28"/>
      <c r="HJ218" s="28"/>
      <c r="HK218" s="28"/>
      <c r="HL218" s="28"/>
      <c r="HM218" s="28"/>
      <c r="HN218" s="28"/>
      <c r="HO218" s="28"/>
      <c r="HP218" s="28"/>
      <c r="HQ218" s="28"/>
      <c r="HR218" s="28"/>
      <c r="HS218" s="28"/>
      <c r="HT218" s="28"/>
      <c r="HU218" s="28"/>
      <c r="HV218" s="28"/>
      <c r="HW218" s="28"/>
      <c r="HX218" s="28"/>
      <c r="HY218" s="28"/>
      <c r="HZ218" s="28"/>
      <c r="IA218" s="28"/>
      <c r="IB218" s="28"/>
      <c r="IC218" s="28"/>
      <c r="ID218" s="28"/>
      <c r="IE218" s="28"/>
      <c r="IF218" s="28"/>
      <c r="IG218" s="28"/>
      <c r="IH218" s="28"/>
      <c r="II218" s="28"/>
      <c r="IJ218" s="28"/>
      <c r="IK218" s="28"/>
      <c r="IL218" s="28"/>
      <c r="IM218" s="28"/>
      <c r="IN218" s="28"/>
      <c r="IO218" s="28"/>
      <c r="IP218" s="28"/>
      <c r="IQ218" s="28"/>
      <c r="IR218" s="28"/>
      <c r="IS218" s="28"/>
      <c r="IT218" s="28"/>
      <c r="IU218" s="28"/>
      <c r="IV218" s="28"/>
      <c r="IW218" s="28"/>
      <c r="IX218" s="28"/>
      <c r="IY218" s="28"/>
      <c r="IZ218" s="28"/>
      <c r="JA218" s="28"/>
      <c r="JB218" s="28"/>
      <c r="JC218" s="28"/>
      <c r="JD218" s="28"/>
      <c r="JE218" s="28"/>
      <c r="JF218" s="28"/>
      <c r="JG218" s="28"/>
      <c r="JH218" s="28"/>
      <c r="JI218" s="28"/>
      <c r="JJ218" s="28"/>
      <c r="JK218" s="28"/>
      <c r="JL218" s="28"/>
      <c r="JM218" s="28"/>
      <c r="JN218" s="28"/>
      <c r="JO218" s="28"/>
      <c r="JP218" s="28"/>
      <c r="JQ218" s="28"/>
      <c r="JR218" s="28"/>
      <c r="JS218" s="28"/>
      <c r="JT218" s="28"/>
      <c r="JU218" s="28"/>
      <c r="JV218" s="28"/>
      <c r="JW218" s="28"/>
      <c r="JX218" s="28"/>
      <c r="JY218" s="28"/>
      <c r="JZ218" s="28"/>
      <c r="KA218" s="28"/>
      <c r="KB218" s="28"/>
      <c r="KC218" s="28"/>
      <c r="KD218" s="28"/>
      <c r="KE218" s="28"/>
      <c r="KF218" s="28"/>
      <c r="KG218" s="28"/>
      <c r="KH218" s="28"/>
      <c r="KI218" s="28"/>
      <c r="KJ218" s="28"/>
      <c r="KK218" s="28"/>
      <c r="KL218" s="28"/>
      <c r="KM218" s="28"/>
      <c r="KN218" s="28"/>
      <c r="KO218" s="28"/>
      <c r="KP218" s="28"/>
      <c r="KQ218" s="28"/>
      <c r="KR218" s="28"/>
      <c r="KS218" s="28"/>
      <c r="KT218" s="28"/>
      <c r="KU218" s="28"/>
      <c r="KV218" s="28"/>
      <c r="KW218" s="28"/>
      <c r="KX218" s="28"/>
      <c r="KY218" s="28"/>
      <c r="KZ218" s="28"/>
      <c r="LA218" s="28"/>
      <c r="LB218" s="28"/>
      <c r="LC218" s="28"/>
      <c r="LD218" s="28"/>
      <c r="LE218" s="28"/>
      <c r="LF218" s="28"/>
      <c r="LG218" s="28"/>
      <c r="LH218" s="28"/>
      <c r="LI218" s="28"/>
      <c r="LJ218" s="28"/>
      <c r="LK218" s="28"/>
      <c r="LL218" s="28"/>
      <c r="LM218" s="28"/>
      <c r="LN218" s="28"/>
      <c r="LO218" s="28"/>
      <c r="LP218" s="28"/>
      <c r="LQ218" s="28"/>
      <c r="LR218" s="28"/>
      <c r="LS218" s="28"/>
      <c r="LT218" s="28"/>
      <c r="LU218" s="28"/>
      <c r="LV218" s="28"/>
      <c r="LW218" s="28"/>
      <c r="LX218" s="28"/>
      <c r="LY218" s="28"/>
      <c r="LZ218" s="28"/>
      <c r="MA218" s="28"/>
      <c r="MB218" s="28"/>
      <c r="MC218" s="28"/>
      <c r="MD218" s="28"/>
      <c r="ME218" s="28"/>
      <c r="MF218" s="28"/>
      <c r="MG218" s="28"/>
      <c r="MH218" s="28"/>
      <c r="MI218" s="28"/>
      <c r="MJ218" s="28"/>
      <c r="MK218" s="28"/>
      <c r="ML218" s="28"/>
      <c r="MM218" s="28"/>
      <c r="MN218" s="28"/>
      <c r="MO218" s="28"/>
      <c r="MP218" s="28"/>
      <c r="MQ218" s="28"/>
      <c r="MR218" s="28"/>
      <c r="MS218" s="28"/>
      <c r="MT218" s="28"/>
      <c r="MU218" s="28"/>
      <c r="MV218" s="28"/>
      <c r="MW218" s="28"/>
      <c r="MX218" s="28"/>
      <c r="MY218" s="28"/>
      <c r="MZ218" s="28"/>
      <c r="NA218" s="28"/>
      <c r="NB218" s="28"/>
      <c r="NC218" s="28"/>
      <c r="ND218" s="28"/>
      <c r="NE218" s="28"/>
      <c r="NF218" s="28"/>
      <c r="NG218" s="28"/>
      <c r="NH218" s="28"/>
      <c r="NI218" s="28"/>
      <c r="NJ218" s="28"/>
      <c r="NK218" s="28"/>
      <c r="NL218" s="28"/>
      <c r="NM218" s="28"/>
      <c r="NN218" s="28"/>
      <c r="NO218" s="28"/>
      <c r="NP218" s="28"/>
      <c r="NQ218" s="28"/>
      <c r="NR218" s="28"/>
      <c r="NS218" s="28"/>
      <c r="NT218" s="28"/>
      <c r="NU218" s="28"/>
      <c r="NV218" s="28"/>
      <c r="NW218" s="28"/>
      <c r="NX218" s="28"/>
      <c r="NY218" s="28"/>
      <c r="NZ218" s="28"/>
      <c r="OA218" s="28"/>
      <c r="OB218" s="28"/>
      <c r="OC218" s="28"/>
      <c r="OD218" s="28"/>
      <c r="OE218" s="28"/>
      <c r="OF218" s="28"/>
      <c r="OG218" s="28"/>
      <c r="OH218" s="28"/>
      <c r="OI218" s="28"/>
      <c r="OJ218" s="28"/>
      <c r="OK218" s="28"/>
      <c r="OL218" s="28"/>
      <c r="OM218" s="28"/>
      <c r="ON218" s="28"/>
      <c r="OO218" s="28"/>
      <c r="OP218" s="28"/>
      <c r="OQ218" s="28"/>
      <c r="OR218" s="28"/>
      <c r="OS218" s="28"/>
      <c r="OT218" s="28"/>
      <c r="OU218" s="28"/>
      <c r="OV218" s="28"/>
      <c r="OW218" s="28"/>
      <c r="OX218" s="28"/>
      <c r="OY218" s="28"/>
      <c r="OZ218" s="28"/>
      <c r="PA218" s="28"/>
      <c r="PB218" s="28"/>
      <c r="PC218" s="28"/>
      <c r="PD218" s="28"/>
      <c r="PE218" s="28"/>
      <c r="PF218" s="28"/>
      <c r="PG218" s="28"/>
      <c r="PH218" s="28"/>
      <c r="PI218" s="28"/>
      <c r="PJ218" s="28"/>
      <c r="PK218" s="28"/>
      <c r="PL218" s="28"/>
      <c r="PM218" s="28"/>
      <c r="PN218" s="28"/>
      <c r="PO218" s="28"/>
      <c r="PP218" s="28"/>
      <c r="PQ218" s="28"/>
      <c r="PR218" s="28"/>
      <c r="PS218" s="28"/>
      <c r="PT218" s="28"/>
      <c r="PU218" s="28"/>
      <c r="PV218" s="28"/>
      <c r="PW218" s="28"/>
      <c r="PX218" s="28"/>
      <c r="PY218" s="28"/>
      <c r="PZ218" s="28"/>
      <c r="QA218" s="28"/>
      <c r="QB218" s="28"/>
      <c r="QC218" s="28"/>
      <c r="QD218" s="28"/>
      <c r="QE218" s="28"/>
      <c r="QF218" s="28"/>
      <c r="QG218" s="28"/>
      <c r="QH218" s="28"/>
      <c r="QI218" s="28"/>
      <c r="QJ218" s="28"/>
      <c r="QK218" s="28"/>
      <c r="QL218" s="28"/>
      <c r="QM218" s="28"/>
      <c r="QN218" s="28"/>
      <c r="QO218" s="28"/>
      <c r="QP218" s="28"/>
      <c r="QQ218" s="28"/>
      <c r="QR218" s="28"/>
      <c r="QS218" s="28"/>
      <c r="QT218" s="28"/>
      <c r="QU218" s="28"/>
      <c r="QV218" s="28"/>
      <c r="QW218" s="28"/>
      <c r="QX218" s="28"/>
      <c r="QY218" s="28"/>
      <c r="QZ218" s="28"/>
      <c r="RA218" s="28"/>
      <c r="RB218" s="28"/>
      <c r="RC218" s="28"/>
      <c r="RD218" s="28"/>
      <c r="RE218" s="28"/>
      <c r="RF218" s="28"/>
      <c r="RG218" s="28"/>
      <c r="RH218" s="28"/>
      <c r="RI218" s="28"/>
      <c r="RJ218" s="28"/>
      <c r="RK218" s="28"/>
      <c r="RL218" s="28"/>
      <c r="RM218" s="28"/>
      <c r="RN218" s="28"/>
      <c r="RO218" s="28"/>
      <c r="RP218" s="28"/>
      <c r="RQ218" s="28"/>
      <c r="RR218" s="28"/>
      <c r="RS218" s="28"/>
      <c r="RT218" s="28"/>
      <c r="RU218" s="28"/>
      <c r="RV218" s="28"/>
      <c r="RW218" s="28"/>
      <c r="RX218" s="28"/>
      <c r="RY218" s="28"/>
      <c r="RZ218" s="28"/>
      <c r="SA218" s="28"/>
      <c r="SB218" s="28"/>
      <c r="SC218" s="28"/>
      <c r="SD218" s="28"/>
      <c r="SE218" s="28"/>
      <c r="SF218" s="28"/>
      <c r="SG218" s="28"/>
      <c r="SH218" s="28"/>
      <c r="SI218" s="28"/>
      <c r="SJ218" s="28"/>
      <c r="SK218" s="28"/>
      <c r="SL218" s="28"/>
      <c r="SM218" s="28"/>
      <c r="SN218" s="28"/>
      <c r="SO218" s="28"/>
      <c r="SP218" s="28"/>
      <c r="SQ218" s="28"/>
      <c r="SR218" s="28"/>
      <c r="SS218" s="28"/>
      <c r="ST218" s="28"/>
      <c r="SU218" s="28"/>
      <c r="SV218" s="28"/>
      <c r="SW218" s="28"/>
      <c r="SX218" s="28"/>
      <c r="SY218" s="28"/>
      <c r="SZ218" s="28"/>
      <c r="TA218" s="28"/>
      <c r="TB218" s="28"/>
      <c r="TC218" s="28"/>
      <c r="TD218" s="28"/>
      <c r="TE218" s="28"/>
      <c r="TF218" s="28"/>
      <c r="TG218" s="28"/>
      <c r="TH218" s="28"/>
      <c r="TI218" s="28"/>
      <c r="TJ218" s="28"/>
      <c r="TK218" s="28"/>
      <c r="TL218" s="28"/>
      <c r="TM218" s="28"/>
      <c r="TN218" s="28"/>
      <c r="TO218" s="28"/>
      <c r="TP218" s="28"/>
      <c r="TQ218" s="28"/>
      <c r="TR218" s="28"/>
      <c r="TS218" s="28"/>
      <c r="TT218" s="28"/>
      <c r="TU218" s="28"/>
      <c r="TV218" s="28"/>
      <c r="TW218" s="28"/>
      <c r="TX218" s="28"/>
      <c r="TY218" s="28"/>
      <c r="TZ218" s="28"/>
      <c r="UA218" s="28"/>
      <c r="UB218" s="28"/>
      <c r="UC218" s="28"/>
      <c r="UD218" s="28"/>
      <c r="UE218" s="28"/>
      <c r="UF218" s="28"/>
      <c r="UG218" s="28"/>
      <c r="UH218" s="28"/>
      <c r="UI218" s="28"/>
      <c r="UJ218" s="28"/>
      <c r="UK218" s="28"/>
      <c r="UL218" s="28"/>
      <c r="UM218" s="28"/>
      <c r="UN218" s="28"/>
      <c r="UO218" s="28"/>
      <c r="UP218" s="28"/>
      <c r="UQ218" s="28"/>
      <c r="UR218" s="28"/>
      <c r="US218" s="28"/>
      <c r="UT218" s="28"/>
      <c r="UU218" s="28"/>
      <c r="UV218" s="28"/>
      <c r="UW218" s="28"/>
      <c r="UX218" s="28"/>
      <c r="UY218" s="28"/>
      <c r="UZ218" s="28"/>
      <c r="VA218" s="28"/>
      <c r="VB218" s="28"/>
      <c r="VC218" s="28"/>
      <c r="VD218" s="28"/>
      <c r="VE218" s="28"/>
      <c r="VF218" s="28"/>
      <c r="VG218" s="28"/>
      <c r="VH218" s="28"/>
      <c r="VI218" s="28"/>
      <c r="VJ218" s="28"/>
      <c r="VK218" s="28"/>
      <c r="VL218" s="28"/>
      <c r="VM218" s="28"/>
      <c r="VN218" s="28"/>
      <c r="VO218" s="28"/>
      <c r="VP218" s="28"/>
      <c r="VQ218" s="28"/>
      <c r="VR218" s="28"/>
      <c r="VS218" s="28"/>
      <c r="VT218" s="28"/>
      <c r="VU218" s="28"/>
      <c r="VV218" s="28"/>
      <c r="VW218" s="28"/>
      <c r="VX218" s="28"/>
      <c r="VY218" s="28"/>
      <c r="VZ218" s="28"/>
      <c r="WA218" s="28"/>
      <c r="WB218" s="28"/>
      <c r="WC218" s="28"/>
      <c r="WD218" s="28"/>
      <c r="WE218" s="28"/>
      <c r="WF218" s="28"/>
      <c r="WG218" s="28"/>
      <c r="WH218" s="28"/>
      <c r="WI218" s="28"/>
      <c r="WJ218" s="28"/>
      <c r="WK218" s="28"/>
      <c r="WL218" s="28"/>
      <c r="WM218" s="28"/>
      <c r="WN218" s="28"/>
      <c r="WO218" s="28"/>
      <c r="WP218" s="28"/>
      <c r="WQ218" s="28"/>
      <c r="WR218" s="28"/>
      <c r="WS218" s="28"/>
      <c r="WT218" s="28"/>
      <c r="WU218" s="28"/>
      <c r="WV218" s="28"/>
      <c r="WW218" s="28"/>
      <c r="WX218" s="28"/>
      <c r="WY218" s="28"/>
      <c r="WZ218" s="28"/>
      <c r="XA218" s="28"/>
      <c r="XB218" s="28"/>
      <c r="XC218" s="28"/>
      <c r="XD218" s="28"/>
      <c r="XE218" s="28"/>
      <c r="XF218" s="28"/>
      <c r="XG218" s="28"/>
      <c r="XH218" s="28"/>
      <c r="XI218" s="28"/>
      <c r="XJ218" s="28"/>
      <c r="XK218" s="28"/>
      <c r="XL218" s="28"/>
      <c r="XM218" s="28"/>
      <c r="XN218" s="28"/>
      <c r="XO218" s="28"/>
      <c r="XP218" s="28"/>
      <c r="XQ218" s="28"/>
      <c r="XR218" s="28"/>
      <c r="XS218" s="28"/>
      <c r="XT218" s="28"/>
      <c r="XU218" s="28"/>
      <c r="XV218" s="28"/>
      <c r="XW218" s="28"/>
      <c r="XX218" s="28"/>
      <c r="XY218" s="28"/>
      <c r="XZ218" s="28"/>
      <c r="YA218" s="28"/>
      <c r="YB218" s="28"/>
      <c r="YC218" s="28"/>
      <c r="YD218" s="28"/>
      <c r="YE218" s="28"/>
      <c r="YF218" s="28"/>
      <c r="YG218" s="28"/>
      <c r="YH218" s="28"/>
      <c r="YI218" s="28"/>
      <c r="YJ218" s="28"/>
      <c r="YK218" s="28"/>
      <c r="YL218" s="28"/>
      <c r="YM218" s="28"/>
      <c r="YN218" s="28"/>
      <c r="YO218" s="28"/>
      <c r="YP218" s="28"/>
      <c r="YQ218" s="28"/>
      <c r="YR218" s="28"/>
      <c r="YS218" s="28"/>
      <c r="YT218" s="28"/>
      <c r="YU218" s="28"/>
      <c r="YV218" s="28"/>
      <c r="YW218" s="28"/>
      <c r="YX218" s="28"/>
      <c r="YY218" s="28"/>
      <c r="YZ218" s="28"/>
      <c r="ZA218" s="28"/>
      <c r="ZB218" s="28"/>
      <c r="ZC218" s="28"/>
      <c r="ZD218" s="28"/>
      <c r="ZE218" s="28"/>
      <c r="ZF218" s="28"/>
      <c r="ZG218" s="28"/>
      <c r="ZH218" s="28"/>
      <c r="ZI218" s="28"/>
      <c r="ZJ218" s="28"/>
      <c r="ZK218" s="28"/>
      <c r="ZL218" s="28"/>
      <c r="ZM218" s="28"/>
      <c r="ZN218" s="28"/>
      <c r="ZO218" s="28"/>
      <c r="ZP218" s="28"/>
      <c r="ZQ218" s="28"/>
      <c r="ZR218" s="28"/>
      <c r="ZS218" s="28"/>
      <c r="ZT218" s="28"/>
      <c r="ZU218" s="28"/>
      <c r="ZV218" s="28"/>
      <c r="ZW218" s="28"/>
      <c r="ZX218" s="28"/>
      <c r="ZY218" s="28"/>
      <c r="ZZ218" s="28"/>
      <c r="AAA218" s="28"/>
      <c r="AAB218" s="28"/>
      <c r="AAC218" s="28"/>
      <c r="AAD218" s="28"/>
      <c r="AAE218" s="28"/>
      <c r="AAF218" s="28"/>
      <c r="AAG218" s="28"/>
      <c r="AAH218" s="28"/>
      <c r="AAI218" s="28"/>
      <c r="AAJ218" s="28"/>
      <c r="AAK218" s="28"/>
      <c r="AAL218" s="28"/>
      <c r="AAM218" s="28"/>
      <c r="AAN218" s="28"/>
      <c r="AAO218" s="28"/>
      <c r="AAP218" s="28"/>
      <c r="AAQ218" s="28"/>
      <c r="AAR218" s="28"/>
      <c r="AAS218" s="28"/>
      <c r="AAT218" s="28"/>
      <c r="AAU218" s="28"/>
      <c r="AAV218" s="28"/>
      <c r="AAW218" s="28"/>
      <c r="AAX218" s="28"/>
      <c r="AAY218" s="28"/>
      <c r="AAZ218" s="28"/>
      <c r="ABA218" s="28"/>
      <c r="ABB218" s="28"/>
      <c r="ABC218" s="28"/>
      <c r="ABD218" s="28"/>
      <c r="ABE218" s="28"/>
      <c r="ABF218" s="28"/>
      <c r="ABG218" s="28"/>
      <c r="ABH218" s="28"/>
      <c r="ABI218" s="28"/>
      <c r="ABJ218" s="28"/>
      <c r="ABK218" s="28"/>
      <c r="ABL218" s="28"/>
      <c r="ABM218" s="28"/>
      <c r="ABN218" s="28"/>
      <c r="ABO218" s="28"/>
      <c r="ABP218" s="28"/>
      <c r="ABQ218" s="28"/>
      <c r="ABR218" s="28"/>
      <c r="ABS218" s="28"/>
      <c r="ABT218" s="28"/>
      <c r="ABU218" s="28"/>
      <c r="ABV218" s="28"/>
      <c r="ABW218" s="28"/>
      <c r="ABX218" s="28"/>
      <c r="ABY218" s="28"/>
      <c r="ABZ218" s="28"/>
      <c r="ACA218" s="28"/>
      <c r="ACB218" s="28"/>
      <c r="ACC218" s="28"/>
      <c r="ACD218" s="28"/>
      <c r="ACE218" s="28"/>
      <c r="ACF218" s="28"/>
      <c r="ACG218" s="28"/>
      <c r="ACH218" s="28"/>
      <c r="ACI218" s="28"/>
      <c r="ACJ218" s="28"/>
      <c r="ACK218" s="28"/>
      <c r="ACL218" s="28"/>
      <c r="ACM218" s="28"/>
      <c r="ACN218" s="28"/>
      <c r="ACO218" s="28"/>
      <c r="ACP218" s="28"/>
      <c r="ACQ218" s="28"/>
      <c r="ACR218" s="28"/>
      <c r="ACS218" s="28"/>
      <c r="ACT218" s="28"/>
      <c r="ACU218" s="28"/>
      <c r="ACV218" s="28"/>
      <c r="ACW218" s="28"/>
      <c r="ACX218" s="28"/>
      <c r="ACY218" s="28"/>
      <c r="ACZ218" s="28"/>
      <c r="ADA218" s="28"/>
      <c r="ADB218" s="28"/>
      <c r="ADC218" s="28"/>
      <c r="ADD218" s="28"/>
      <c r="ADE218" s="28"/>
      <c r="ADF218" s="28"/>
      <c r="ADG218" s="28"/>
      <c r="ADH218" s="28"/>
      <c r="ADI218" s="28"/>
      <c r="ADJ218" s="28"/>
      <c r="ADK218" s="28"/>
      <c r="ADL218" s="28"/>
      <c r="ADM218" s="28"/>
      <c r="ADN218" s="28"/>
      <c r="ADO218" s="28"/>
      <c r="ADP218" s="28"/>
      <c r="ADQ218" s="28"/>
      <c r="ADR218" s="28"/>
      <c r="ADS218" s="28"/>
      <c r="ADT218" s="28"/>
      <c r="ADU218" s="28"/>
      <c r="ADV218" s="28"/>
      <c r="ADW218" s="28"/>
      <c r="ADX218" s="28"/>
      <c r="ADY218" s="28"/>
      <c r="ADZ218" s="28"/>
      <c r="AEA218" s="28"/>
      <c r="AEB218" s="28"/>
      <c r="AEC218" s="28"/>
      <c r="AED218" s="28"/>
      <c r="AEE218" s="28"/>
      <c r="AEF218" s="28"/>
      <c r="AEG218" s="28"/>
      <c r="AEH218" s="28"/>
      <c r="AEI218" s="28"/>
      <c r="AEJ218" s="28"/>
      <c r="AEK218" s="28"/>
      <c r="AEL218" s="28"/>
      <c r="AEM218" s="28"/>
      <c r="AEN218" s="28"/>
      <c r="AEO218" s="28"/>
      <c r="AEP218" s="28"/>
      <c r="AEQ218" s="28"/>
      <c r="AER218" s="28"/>
      <c r="AES218" s="28"/>
      <c r="AET218" s="28"/>
      <c r="AEU218" s="28"/>
      <c r="AEV218" s="28"/>
      <c r="AEW218" s="28"/>
      <c r="AEX218" s="28"/>
      <c r="AEY218" s="28"/>
      <c r="AEZ218" s="28"/>
      <c r="AFA218" s="28"/>
      <c r="AFB218" s="28"/>
      <c r="AFC218" s="28"/>
      <c r="AFD218" s="28"/>
      <c r="AFE218" s="28"/>
      <c r="AFF218" s="28"/>
      <c r="AFG218" s="28"/>
      <c r="AFH218" s="28"/>
      <c r="AFI218" s="28"/>
      <c r="AFJ218" s="28"/>
      <c r="AFK218" s="28"/>
      <c r="AFL218" s="28"/>
      <c r="AFM218" s="28"/>
      <c r="AFN218" s="28"/>
      <c r="AFO218" s="28"/>
      <c r="AFP218" s="28"/>
      <c r="AFQ218" s="28"/>
      <c r="AFR218" s="28"/>
      <c r="AFS218" s="28"/>
      <c r="AFT218" s="28"/>
      <c r="AFU218" s="28"/>
      <c r="AFV218" s="28"/>
      <c r="AFW218" s="28"/>
      <c r="AFX218" s="28"/>
      <c r="AFY218" s="28"/>
      <c r="AFZ218" s="28"/>
      <c r="AGA218" s="28"/>
      <c r="AGB218" s="28"/>
      <c r="AGC218" s="28"/>
      <c r="AGD218" s="28"/>
      <c r="AGE218" s="28"/>
      <c r="AGF218" s="28"/>
      <c r="AGG218" s="28"/>
      <c r="AGH218" s="28"/>
      <c r="AGI218" s="28"/>
      <c r="AGJ218" s="28"/>
      <c r="AGK218" s="28"/>
      <c r="AGL218" s="28"/>
      <c r="AGM218" s="28"/>
      <c r="AGN218" s="28"/>
      <c r="AGO218" s="28"/>
      <c r="AGP218" s="28"/>
      <c r="AGQ218" s="28"/>
      <c r="AGR218" s="28"/>
      <c r="AGS218" s="28"/>
      <c r="AGT218" s="28"/>
      <c r="AGU218" s="28"/>
      <c r="AGV218" s="28"/>
      <c r="AGW218" s="28"/>
      <c r="AGX218" s="28"/>
      <c r="AGY218" s="28"/>
      <c r="AGZ218" s="28"/>
      <c r="AHA218" s="28"/>
      <c r="AHB218" s="28"/>
      <c r="AHC218" s="28"/>
      <c r="AHD218" s="28"/>
      <c r="AHE218" s="28"/>
      <c r="AHF218" s="28"/>
      <c r="AHG218" s="28"/>
      <c r="AHH218" s="28"/>
      <c r="AHI218" s="28"/>
      <c r="AHJ218" s="28"/>
      <c r="AHK218" s="28"/>
      <c r="AHL218" s="28"/>
      <c r="AHM218" s="28"/>
      <c r="AHN218" s="28"/>
      <c r="AHO218" s="28"/>
      <c r="AHP218" s="28"/>
      <c r="AHQ218" s="28"/>
      <c r="AHR218" s="28"/>
      <c r="AHS218" s="28"/>
      <c r="AHT218" s="28"/>
      <c r="AHU218" s="28"/>
      <c r="AHV218" s="28"/>
      <c r="AHW218" s="28"/>
      <c r="AHX218" s="28"/>
      <c r="AHY218" s="28"/>
      <c r="AHZ218" s="28"/>
      <c r="AIA218" s="28"/>
      <c r="AIB218" s="28"/>
      <c r="AIC218" s="28"/>
      <c r="AID218" s="28"/>
      <c r="AIE218" s="28"/>
      <c r="AIF218" s="28"/>
      <c r="AIG218" s="28"/>
      <c r="AIH218" s="28"/>
      <c r="AII218" s="28"/>
      <c r="AIJ218" s="28"/>
      <c r="AIK218" s="28"/>
      <c r="AIL218" s="28"/>
      <c r="AIM218" s="28"/>
      <c r="AIN218" s="28"/>
      <c r="AIO218" s="28"/>
      <c r="AIP218" s="28"/>
      <c r="AIQ218" s="28"/>
      <c r="AIR218" s="28"/>
      <c r="AIS218" s="28"/>
      <c r="AIT218" s="28"/>
      <c r="AIU218" s="28"/>
      <c r="AIV218" s="28"/>
      <c r="AIW218" s="28"/>
      <c r="AIX218" s="28"/>
      <c r="AIY218" s="28"/>
      <c r="AIZ218" s="28"/>
      <c r="AJA218" s="28"/>
      <c r="AJB218" s="28"/>
      <c r="AJC218" s="28"/>
      <c r="AJD218" s="28"/>
      <c r="AJE218" s="28"/>
      <c r="AJF218" s="28"/>
      <c r="AJG218" s="28"/>
      <c r="AJH218" s="28"/>
      <c r="AJI218" s="28"/>
      <c r="AJJ218" s="28"/>
      <c r="AJK218" s="28"/>
      <c r="AJL218" s="28"/>
      <c r="AJM218" s="28"/>
      <c r="AJN218" s="28"/>
      <c r="AJO218" s="28"/>
      <c r="AJP218" s="28"/>
      <c r="AJQ218" s="28"/>
      <c r="AJR218" s="28"/>
      <c r="AJS218" s="28"/>
      <c r="AJT218" s="28"/>
      <c r="AJU218" s="28"/>
      <c r="AJV218" s="28"/>
      <c r="AJW218" s="28"/>
      <c r="AJX218" s="28"/>
      <c r="AJY218" s="28"/>
      <c r="AJZ218" s="28"/>
      <c r="AKA218" s="28"/>
      <c r="AKB218" s="28"/>
      <c r="AKC218" s="28"/>
      <c r="AKD218" s="28"/>
      <c r="AKE218" s="28"/>
      <c r="AKF218" s="28"/>
      <c r="AKG218" s="28"/>
      <c r="AKH218" s="28"/>
      <c r="AKI218" s="28"/>
      <c r="AKJ218" s="28"/>
      <c r="AKK218" s="28"/>
      <c r="AKL218" s="28"/>
      <c r="AKM218" s="28"/>
      <c r="AKN218" s="28"/>
      <c r="AKO218" s="28"/>
      <c r="AKP218" s="28"/>
      <c r="AKQ218" s="28"/>
      <c r="AKR218" s="28"/>
      <c r="AKS218" s="28"/>
      <c r="AKT218" s="28"/>
      <c r="AKU218" s="28"/>
      <c r="AKV218" s="28"/>
      <c r="AKW218" s="28"/>
      <c r="AKX218" s="28"/>
      <c r="AKY218" s="28"/>
      <c r="AKZ218" s="28"/>
      <c r="ALA218" s="28"/>
      <c r="ALB218" s="28"/>
      <c r="ALC218" s="28"/>
      <c r="ALD218" s="28"/>
      <c r="ALE218" s="28"/>
      <c r="ALF218" s="28"/>
      <c r="ALG218" s="28"/>
      <c r="ALH218" s="28"/>
      <c r="ALI218" s="28"/>
      <c r="ALJ218" s="28"/>
      <c r="ALK218" s="28"/>
      <c r="ALL218" s="28"/>
      <c r="ALM218" s="28"/>
      <c r="ALN218" s="28"/>
      <c r="ALO218" s="28"/>
      <c r="ALP218" s="28"/>
      <c r="ALQ218" s="28"/>
      <c r="ALR218" s="28"/>
      <c r="ALS218" s="28"/>
      <c r="ALT218" s="28"/>
      <c r="ALU218" s="28"/>
      <c r="ALV218" s="28"/>
      <c r="ALW218" s="28"/>
      <c r="ALX218" s="28"/>
      <c r="ALY218" s="28"/>
      <c r="ALZ218" s="28"/>
      <c r="AMA218" s="28"/>
      <c r="AMB218" s="28"/>
      <c r="AMC218" s="28"/>
      <c r="AMD218" s="28"/>
      <c r="AME218" s="28"/>
      <c r="AMF218" s="28"/>
      <c r="AMG218" s="28"/>
      <c r="AMH218" s="28"/>
      <c r="AMI218" s="28"/>
      <c r="AMJ218" s="28"/>
      <c r="AMK218" s="28"/>
      <c r="AML218" s="28"/>
      <c r="AMM218" s="28"/>
      <c r="AMN218" s="28"/>
      <c r="AMO218" s="28"/>
      <c r="AMP218" s="28"/>
      <c r="AMQ218" s="28"/>
      <c r="AMR218" s="28"/>
      <c r="AMS218" s="28"/>
      <c r="AMT218" s="28"/>
      <c r="AMU218" s="28"/>
      <c r="AMV218" s="28"/>
      <c r="AMW218" s="28"/>
      <c r="AMX218" s="28"/>
      <c r="AMY218" s="28"/>
      <c r="AMZ218" s="28"/>
      <c r="ANA218" s="28"/>
      <c r="ANB218" s="28"/>
      <c r="ANC218" s="28"/>
      <c r="AND218" s="28"/>
      <c r="ANE218" s="28"/>
      <c r="ANF218" s="28"/>
      <c r="ANG218" s="28"/>
      <c r="ANH218" s="28"/>
      <c r="ANI218" s="28"/>
      <c r="ANJ218" s="28"/>
      <c r="ANK218" s="28"/>
      <c r="ANL218" s="28"/>
      <c r="ANM218" s="28"/>
      <c r="ANN218" s="28"/>
      <c r="ANO218" s="28"/>
      <c r="ANP218" s="28"/>
      <c r="ANQ218" s="28"/>
      <c r="ANR218" s="28"/>
      <c r="ANS218" s="28"/>
      <c r="ANT218" s="28"/>
      <c r="ANU218" s="28"/>
      <c r="ANV218" s="28"/>
      <c r="ANW218" s="28"/>
      <c r="ANX218" s="28"/>
      <c r="ANY218" s="28"/>
      <c r="ANZ218" s="28"/>
      <c r="AOA218" s="28"/>
      <c r="AOB218" s="28"/>
      <c r="AOC218" s="28"/>
      <c r="AOD218" s="28"/>
      <c r="AOE218" s="28"/>
      <c r="AOF218" s="28"/>
      <c r="AOG218" s="28"/>
      <c r="AOH218" s="28"/>
      <c r="AOI218" s="28"/>
      <c r="AOJ218" s="28"/>
      <c r="AOK218" s="28"/>
      <c r="AOL218" s="28"/>
      <c r="AOM218" s="28"/>
      <c r="AON218" s="28"/>
      <c r="AOO218" s="28"/>
      <c r="AOP218" s="28"/>
      <c r="AOQ218" s="28"/>
      <c r="AOR218" s="28"/>
      <c r="AOS218" s="28"/>
      <c r="AOT218" s="28"/>
      <c r="AOU218" s="28"/>
      <c r="AOV218" s="28"/>
      <c r="AOW218" s="28"/>
      <c r="AOX218" s="28"/>
      <c r="AOY218" s="28"/>
      <c r="AOZ218" s="28"/>
      <c r="APA218" s="28"/>
      <c r="APB218" s="28"/>
      <c r="APC218" s="28"/>
      <c r="APD218" s="28"/>
      <c r="APE218" s="28"/>
      <c r="APF218" s="28"/>
      <c r="APG218" s="28"/>
      <c r="APH218" s="28"/>
      <c r="API218" s="28"/>
      <c r="APJ218" s="28"/>
      <c r="APK218" s="28"/>
      <c r="APL218" s="28"/>
      <c r="APM218" s="28"/>
      <c r="APN218" s="28"/>
      <c r="APO218" s="28"/>
      <c r="APP218" s="28"/>
      <c r="APQ218" s="28"/>
      <c r="APR218" s="28"/>
      <c r="APS218" s="28"/>
      <c r="APT218" s="28"/>
      <c r="APU218" s="28"/>
      <c r="APV218" s="28"/>
      <c r="APW218" s="28"/>
      <c r="APX218" s="28"/>
      <c r="APY218" s="28"/>
      <c r="APZ218" s="28"/>
      <c r="AQA218" s="28"/>
      <c r="AQB218" s="28"/>
      <c r="AQC218" s="28"/>
      <c r="AQD218" s="28"/>
      <c r="AQE218" s="28"/>
      <c r="AQF218" s="28"/>
      <c r="AQG218" s="28"/>
      <c r="AQH218" s="28"/>
      <c r="AQI218" s="28"/>
      <c r="AQJ218" s="28"/>
      <c r="AQK218" s="28"/>
      <c r="AQL218" s="28"/>
      <c r="AQM218" s="28"/>
      <c r="AQN218" s="28"/>
      <c r="AQO218" s="28"/>
      <c r="AQP218" s="28"/>
      <c r="AQQ218" s="28"/>
      <c r="AQR218" s="28"/>
      <c r="AQS218" s="28"/>
      <c r="AQT218" s="28"/>
      <c r="AQU218" s="28"/>
      <c r="AQV218" s="28"/>
      <c r="AQW218" s="28"/>
      <c r="AQX218" s="28"/>
      <c r="AQY218" s="28"/>
      <c r="AQZ218" s="28"/>
      <c r="ARA218" s="28"/>
      <c r="ARB218" s="28"/>
      <c r="ARC218" s="28"/>
      <c r="ARD218" s="28"/>
      <c r="ARE218" s="28"/>
      <c r="ARF218" s="28"/>
      <c r="ARG218" s="28"/>
      <c r="ARH218" s="28"/>
      <c r="ARI218" s="28"/>
      <c r="ARJ218" s="28"/>
      <c r="ARK218" s="28"/>
      <c r="ARL218" s="28"/>
      <c r="ARM218" s="28"/>
      <c r="ARN218" s="28"/>
      <c r="ARO218" s="28"/>
      <c r="ARP218" s="28"/>
      <c r="ARQ218" s="28"/>
      <c r="ARR218" s="28"/>
      <c r="ARS218" s="28"/>
      <c r="ART218" s="28"/>
      <c r="ARU218" s="28"/>
      <c r="ARV218" s="28"/>
      <c r="ARW218" s="28"/>
      <c r="ARX218" s="28"/>
      <c r="ARY218" s="28"/>
      <c r="ARZ218" s="28"/>
      <c r="ASA218" s="28"/>
      <c r="ASB218" s="28"/>
      <c r="ASC218" s="28"/>
      <c r="ASD218" s="28"/>
      <c r="ASE218" s="28"/>
      <c r="ASF218" s="28"/>
      <c r="ASG218" s="28"/>
      <c r="ASH218" s="28"/>
      <c r="ASI218" s="28"/>
      <c r="ASJ218" s="28"/>
      <c r="ASK218" s="28"/>
      <c r="ASL218" s="28"/>
      <c r="ASM218" s="28"/>
      <c r="ASN218" s="28"/>
      <c r="ASO218" s="28"/>
      <c r="ASP218" s="28"/>
      <c r="ASQ218" s="28"/>
      <c r="ASR218" s="28"/>
      <c r="ASS218" s="28"/>
      <c r="AST218" s="28"/>
      <c r="ASU218" s="28"/>
      <c r="ASV218" s="28"/>
      <c r="ASW218" s="28"/>
      <c r="ASX218" s="28"/>
      <c r="ASY218" s="28"/>
      <c r="ASZ218" s="28"/>
      <c r="ATA218" s="28"/>
      <c r="ATB218" s="28"/>
      <c r="ATC218" s="28"/>
      <c r="ATD218" s="28"/>
      <c r="ATE218" s="28"/>
      <c r="ATF218" s="28"/>
      <c r="ATG218" s="28"/>
      <c r="ATH218" s="28"/>
      <c r="ATI218" s="28"/>
      <c r="ATJ218" s="28"/>
      <c r="ATK218" s="28"/>
      <c r="ATL218" s="28"/>
      <c r="ATM218" s="28"/>
      <c r="ATN218" s="28"/>
      <c r="ATO218" s="28"/>
      <c r="ATP218" s="28"/>
      <c r="ATQ218" s="28"/>
      <c r="ATR218" s="28"/>
      <c r="ATS218" s="28"/>
      <c r="ATT218" s="28"/>
      <c r="ATU218" s="28"/>
      <c r="ATV218" s="28"/>
      <c r="ATW218" s="28"/>
      <c r="ATX218" s="28"/>
      <c r="ATY218" s="28"/>
      <c r="ATZ218" s="28"/>
      <c r="AUA218" s="28"/>
      <c r="AUB218" s="28"/>
      <c r="AUC218" s="28"/>
      <c r="AUD218" s="28"/>
      <c r="AUE218" s="28"/>
      <c r="AUF218" s="28"/>
      <c r="AUG218" s="28"/>
      <c r="AUH218" s="28"/>
      <c r="AUI218" s="28"/>
      <c r="AUJ218" s="28"/>
      <c r="AUK218" s="28"/>
      <c r="AUL218" s="28"/>
      <c r="AUM218" s="28"/>
      <c r="AUN218" s="28"/>
      <c r="AUO218" s="28"/>
      <c r="AUP218" s="28"/>
      <c r="AUQ218" s="28"/>
      <c r="AUR218" s="28"/>
      <c r="AUS218" s="28"/>
      <c r="AUT218" s="28"/>
      <c r="AUU218" s="28"/>
      <c r="AUV218" s="28"/>
      <c r="AUW218" s="28"/>
      <c r="AUX218" s="28"/>
      <c r="AUY218" s="28"/>
      <c r="AUZ218" s="28"/>
      <c r="AVA218" s="28"/>
      <c r="AVB218" s="28"/>
      <c r="AVC218" s="28"/>
      <c r="AVD218" s="28"/>
      <c r="AVE218" s="28"/>
      <c r="AVF218" s="28"/>
      <c r="AVG218" s="28"/>
      <c r="AVH218" s="28"/>
      <c r="AVI218" s="28"/>
      <c r="AVJ218" s="28"/>
      <c r="AVK218" s="28"/>
      <c r="AVL218" s="28"/>
      <c r="AVM218" s="28"/>
      <c r="AVN218" s="28"/>
      <c r="AVO218" s="28"/>
      <c r="AVP218" s="28"/>
      <c r="AVQ218" s="28"/>
      <c r="AVR218" s="28"/>
      <c r="AVS218" s="28"/>
      <c r="AVT218" s="28"/>
      <c r="AVU218" s="28"/>
      <c r="AVV218" s="28"/>
      <c r="AVW218" s="28"/>
      <c r="AVX218" s="28"/>
      <c r="AVY218" s="28"/>
      <c r="AVZ218" s="28"/>
      <c r="AWA218" s="28"/>
      <c r="AWB218" s="28"/>
      <c r="AWC218" s="28"/>
      <c r="AWD218" s="28"/>
      <c r="AWE218" s="28"/>
      <c r="AWF218" s="28"/>
      <c r="AWG218" s="28"/>
      <c r="AWH218" s="28"/>
      <c r="AWI218" s="28"/>
      <c r="AWJ218" s="28"/>
      <c r="AWK218" s="28"/>
      <c r="AWL218" s="28"/>
      <c r="AWM218" s="28"/>
      <c r="AWN218" s="28"/>
      <c r="AWO218" s="28"/>
      <c r="AWP218" s="28"/>
      <c r="AWQ218" s="28"/>
      <c r="AWR218" s="28"/>
      <c r="AWS218" s="28"/>
      <c r="AWT218" s="28"/>
      <c r="AWU218" s="28"/>
      <c r="AWV218" s="28"/>
      <c r="AWW218" s="28"/>
      <c r="AWX218" s="28"/>
      <c r="AWY218" s="28"/>
      <c r="AWZ218" s="28"/>
      <c r="AXA218" s="28"/>
      <c r="AXB218" s="28"/>
      <c r="AXC218" s="28"/>
      <c r="AXD218" s="28"/>
      <c r="AXE218" s="28"/>
      <c r="AXF218" s="28"/>
      <c r="AXG218" s="28"/>
      <c r="AXH218" s="28"/>
      <c r="AXI218" s="28"/>
      <c r="AXJ218" s="28"/>
      <c r="AXK218" s="28"/>
      <c r="AXL218" s="28"/>
      <c r="AXM218" s="28"/>
      <c r="AXN218" s="28"/>
      <c r="AXO218" s="28"/>
      <c r="AXP218" s="28"/>
      <c r="AXQ218" s="28"/>
      <c r="AXR218" s="28"/>
      <c r="AXS218" s="28"/>
      <c r="AXT218" s="28"/>
      <c r="AXU218" s="28"/>
      <c r="AXV218" s="28"/>
      <c r="AXW218" s="28"/>
      <c r="AXX218" s="28"/>
      <c r="AXY218" s="28"/>
      <c r="AXZ218" s="28"/>
      <c r="AYA218" s="28"/>
      <c r="AYB218" s="28"/>
      <c r="AYC218" s="28"/>
      <c r="AYD218" s="28"/>
      <c r="AYE218" s="28"/>
      <c r="AYF218" s="28"/>
      <c r="AYG218" s="28"/>
      <c r="AYH218" s="28"/>
      <c r="AYI218" s="28"/>
      <c r="AYJ218" s="28"/>
      <c r="AYK218" s="28"/>
      <c r="AYL218" s="28"/>
      <c r="AYM218" s="28"/>
      <c r="AYN218" s="28"/>
      <c r="AYO218" s="28"/>
      <c r="AYP218" s="28"/>
      <c r="AYQ218" s="28"/>
      <c r="AYR218" s="28"/>
      <c r="AYS218" s="28"/>
      <c r="AYT218" s="28"/>
      <c r="AYU218" s="28"/>
      <c r="AYV218" s="28"/>
      <c r="AYW218" s="28"/>
      <c r="AYX218" s="28"/>
      <c r="AYY218" s="28"/>
      <c r="AYZ218" s="28"/>
      <c r="AZA218" s="28"/>
      <c r="AZB218" s="28"/>
      <c r="AZC218" s="28"/>
      <c r="AZD218" s="28"/>
      <c r="AZE218" s="28"/>
      <c r="AZF218" s="28"/>
      <c r="AZG218" s="28"/>
      <c r="AZH218" s="28"/>
      <c r="AZI218" s="28"/>
      <c r="AZJ218" s="28"/>
      <c r="AZK218" s="28"/>
      <c r="AZL218" s="28"/>
      <c r="AZM218" s="28"/>
      <c r="AZN218" s="28"/>
      <c r="AZO218" s="28"/>
      <c r="AZP218" s="28"/>
      <c r="AZQ218" s="28"/>
      <c r="AZR218" s="28"/>
      <c r="AZS218" s="28"/>
      <c r="AZT218" s="28"/>
      <c r="AZU218" s="28"/>
      <c r="AZV218" s="28"/>
      <c r="AZW218" s="28"/>
      <c r="AZX218" s="28"/>
      <c r="AZY218" s="28"/>
      <c r="AZZ218" s="28"/>
      <c r="BAA218" s="28"/>
      <c r="BAB218" s="28"/>
      <c r="BAC218" s="28"/>
      <c r="BAD218" s="28"/>
      <c r="BAE218" s="28"/>
      <c r="BAF218" s="28"/>
      <c r="BAG218" s="28"/>
      <c r="BAH218" s="28"/>
      <c r="BAI218" s="28"/>
      <c r="BAJ218" s="28"/>
      <c r="BAK218" s="28"/>
      <c r="BAL218" s="28"/>
      <c r="BAM218" s="28"/>
      <c r="BAN218" s="28"/>
      <c r="BAO218" s="28"/>
      <c r="BAP218" s="28"/>
      <c r="BAQ218" s="28"/>
      <c r="BAR218" s="28"/>
      <c r="BAS218" s="28"/>
      <c r="BAT218" s="28"/>
      <c r="BAU218" s="28"/>
      <c r="BAV218" s="28"/>
      <c r="BAW218" s="28"/>
      <c r="BAX218" s="28"/>
      <c r="BAY218" s="28"/>
      <c r="BAZ218" s="28"/>
      <c r="BBA218" s="28"/>
      <c r="BBB218" s="28"/>
      <c r="BBC218" s="28"/>
      <c r="BBD218" s="28"/>
      <c r="BBE218" s="28"/>
      <c r="BBF218" s="28"/>
      <c r="BBG218" s="28"/>
      <c r="BBH218" s="28"/>
      <c r="BBI218" s="28"/>
      <c r="BBJ218" s="28"/>
      <c r="BBK218" s="28"/>
      <c r="BBL218" s="28"/>
      <c r="BBM218" s="28"/>
      <c r="BBN218" s="28"/>
      <c r="BBO218" s="28"/>
      <c r="BBP218" s="28"/>
      <c r="BBQ218" s="28"/>
      <c r="BBR218" s="28"/>
      <c r="BBS218" s="28"/>
      <c r="BBT218" s="28"/>
      <c r="BBU218" s="28"/>
      <c r="BBV218" s="28"/>
      <c r="BBW218" s="28"/>
      <c r="BBX218" s="28"/>
      <c r="BBY218" s="28"/>
      <c r="BBZ218" s="28"/>
      <c r="BCA218" s="28"/>
      <c r="BCB218" s="28"/>
      <c r="BCC218" s="28"/>
      <c r="BCD218" s="28"/>
      <c r="BCE218" s="28"/>
      <c r="BCF218" s="28"/>
      <c r="BCG218" s="28"/>
      <c r="BCH218" s="28"/>
      <c r="BCI218" s="28"/>
      <c r="BCJ218" s="28"/>
      <c r="BCK218" s="28"/>
      <c r="BCL218" s="28"/>
      <c r="BCM218" s="28"/>
      <c r="BCN218" s="28"/>
      <c r="BCO218" s="28"/>
      <c r="BCP218" s="28"/>
      <c r="BCQ218" s="28"/>
      <c r="BCR218" s="28"/>
      <c r="BCS218" s="28"/>
      <c r="BCT218" s="28"/>
      <c r="BCU218" s="28"/>
      <c r="BCV218" s="28"/>
      <c r="BCW218" s="28"/>
      <c r="BCX218" s="28"/>
      <c r="BCY218" s="28"/>
      <c r="BCZ218" s="28"/>
      <c r="BDA218" s="28"/>
      <c r="BDB218" s="28"/>
      <c r="BDC218" s="28"/>
      <c r="BDD218" s="28"/>
      <c r="BDE218" s="28"/>
      <c r="BDF218" s="28"/>
      <c r="BDG218" s="28"/>
      <c r="BDH218" s="28"/>
      <c r="BDI218" s="28"/>
      <c r="BDJ218" s="28"/>
      <c r="BDK218" s="28"/>
      <c r="BDL218" s="28"/>
      <c r="BDM218" s="28"/>
      <c r="BDN218" s="28"/>
      <c r="BDO218" s="28"/>
      <c r="BDP218" s="28"/>
      <c r="BDQ218" s="28"/>
      <c r="BDR218" s="28"/>
      <c r="BDS218" s="28"/>
      <c r="BDT218" s="28"/>
      <c r="BDU218" s="28"/>
      <c r="BDV218" s="28"/>
      <c r="BDW218" s="28"/>
      <c r="BDX218" s="28"/>
      <c r="BDY218" s="28"/>
      <c r="BDZ218" s="28"/>
      <c r="BEA218" s="28"/>
      <c r="BEB218" s="28"/>
      <c r="BEC218" s="28"/>
      <c r="BED218" s="28"/>
      <c r="BEE218" s="28"/>
      <c r="BEF218" s="28"/>
      <c r="BEG218" s="28"/>
      <c r="BEH218" s="28"/>
      <c r="BEI218" s="28"/>
      <c r="BEJ218" s="28"/>
      <c r="BEK218" s="28"/>
      <c r="BEL218" s="28"/>
      <c r="BEM218" s="28"/>
      <c r="BEN218" s="28"/>
      <c r="BEO218" s="28"/>
      <c r="BEP218" s="28"/>
      <c r="BEQ218" s="28"/>
      <c r="BER218" s="28"/>
      <c r="BES218" s="28"/>
      <c r="BET218" s="28"/>
      <c r="BEU218" s="28"/>
      <c r="BEV218" s="28"/>
      <c r="BEW218" s="28"/>
      <c r="BEX218" s="28"/>
      <c r="BEY218" s="28"/>
      <c r="BEZ218" s="28"/>
      <c r="BFA218" s="28"/>
      <c r="BFB218" s="28"/>
      <c r="BFC218" s="28"/>
      <c r="BFD218" s="28"/>
      <c r="BFE218" s="28"/>
      <c r="BFF218" s="28"/>
      <c r="BFG218" s="28"/>
      <c r="BFH218" s="28"/>
      <c r="BFI218" s="28"/>
      <c r="BFJ218" s="28"/>
      <c r="BFK218" s="28"/>
      <c r="BFL218" s="28"/>
      <c r="BFM218" s="28"/>
      <c r="BFN218" s="28"/>
      <c r="BFO218" s="28"/>
      <c r="BFP218" s="28"/>
      <c r="BFQ218" s="28"/>
      <c r="BFR218" s="28"/>
      <c r="BFS218" s="28"/>
      <c r="BFT218" s="28"/>
      <c r="BFU218" s="28"/>
      <c r="BFV218" s="28"/>
      <c r="BFW218" s="28"/>
      <c r="BFX218" s="28"/>
      <c r="BFY218" s="28"/>
      <c r="BFZ218" s="28"/>
      <c r="BGA218" s="28"/>
      <c r="BGB218" s="28"/>
      <c r="BGC218" s="28"/>
      <c r="BGD218" s="28"/>
      <c r="BGE218" s="28"/>
      <c r="BGF218" s="28"/>
      <c r="BGG218" s="28"/>
      <c r="BGH218" s="28"/>
      <c r="BGI218" s="28"/>
      <c r="BGJ218" s="28"/>
      <c r="BGK218" s="28"/>
      <c r="BGL218" s="28"/>
      <c r="BGM218" s="28"/>
      <c r="BGN218" s="28"/>
      <c r="BGO218" s="28"/>
      <c r="BGP218" s="28"/>
      <c r="BGQ218" s="28"/>
      <c r="BGR218" s="28"/>
      <c r="BGS218" s="28"/>
      <c r="BGT218" s="28"/>
      <c r="BGU218" s="28"/>
      <c r="BGV218" s="28"/>
      <c r="BGW218" s="28"/>
      <c r="BGX218" s="28"/>
      <c r="BGY218" s="28"/>
      <c r="BGZ218" s="28"/>
      <c r="BHA218" s="28"/>
      <c r="BHB218" s="28"/>
      <c r="BHC218" s="28"/>
      <c r="BHD218" s="28"/>
      <c r="BHE218" s="28"/>
      <c r="BHF218" s="28"/>
      <c r="BHG218" s="28"/>
      <c r="BHH218" s="28"/>
      <c r="BHI218" s="28"/>
      <c r="BHJ218" s="28"/>
      <c r="BHK218" s="28"/>
      <c r="BHL218" s="28"/>
      <c r="BHM218" s="28"/>
      <c r="BHN218" s="28"/>
      <c r="BHO218" s="28"/>
      <c r="BHP218" s="28"/>
      <c r="BHQ218" s="28"/>
      <c r="BHR218" s="28"/>
      <c r="BHS218" s="28"/>
      <c r="BHT218" s="28"/>
      <c r="BHU218" s="28"/>
      <c r="BHV218" s="28"/>
      <c r="BHW218" s="28"/>
      <c r="BHX218" s="28"/>
      <c r="BHY218" s="28"/>
      <c r="BHZ218" s="28"/>
      <c r="BIA218" s="28"/>
      <c r="BIB218" s="28"/>
      <c r="BIC218" s="28"/>
      <c r="BID218" s="28"/>
      <c r="BIE218" s="28"/>
      <c r="BIF218" s="28"/>
      <c r="BIG218" s="28"/>
      <c r="BIH218" s="28"/>
      <c r="BII218" s="28"/>
      <c r="BIJ218" s="28"/>
      <c r="BIK218" s="28"/>
      <c r="BIL218" s="28"/>
      <c r="BIM218" s="28"/>
      <c r="BIN218" s="28"/>
      <c r="BIO218" s="28"/>
      <c r="BIP218" s="28"/>
      <c r="BIQ218" s="28"/>
      <c r="BIR218" s="28"/>
      <c r="BIS218" s="28"/>
      <c r="BIT218" s="28"/>
      <c r="BIU218" s="28"/>
      <c r="BIV218" s="28"/>
      <c r="BIW218" s="28"/>
      <c r="BIX218" s="28"/>
      <c r="BIY218" s="28"/>
      <c r="BIZ218" s="28"/>
      <c r="BJA218" s="28"/>
      <c r="BJB218" s="28"/>
      <c r="BJC218" s="28"/>
      <c r="BJD218" s="28"/>
      <c r="BJE218" s="28"/>
      <c r="BJF218" s="28"/>
      <c r="BJG218" s="28"/>
      <c r="BJH218" s="28"/>
      <c r="BJI218" s="28"/>
      <c r="BJJ218" s="28"/>
      <c r="BJK218" s="28"/>
      <c r="BJL218" s="28"/>
      <c r="BJM218" s="28"/>
      <c r="BJN218" s="28"/>
      <c r="BJO218" s="28"/>
      <c r="BJP218" s="28"/>
      <c r="BJQ218" s="28"/>
      <c r="BJR218" s="28"/>
      <c r="BJS218" s="28"/>
      <c r="BJT218" s="28"/>
      <c r="BJU218" s="28"/>
      <c r="BJV218" s="28"/>
      <c r="BJW218" s="28"/>
      <c r="BJX218" s="28"/>
      <c r="BJY218" s="28"/>
      <c r="BJZ218" s="28"/>
      <c r="BKA218" s="28"/>
      <c r="BKB218" s="28"/>
      <c r="BKC218" s="28"/>
      <c r="BKD218" s="28"/>
      <c r="BKE218" s="28"/>
      <c r="BKF218" s="28"/>
      <c r="BKG218" s="28"/>
      <c r="BKH218" s="28"/>
      <c r="BKI218" s="28"/>
      <c r="BKJ218" s="28"/>
      <c r="BKK218" s="28"/>
      <c r="BKL218" s="28"/>
      <c r="BKM218" s="28"/>
      <c r="BKN218" s="28"/>
      <c r="BKO218" s="28"/>
      <c r="BKP218" s="28"/>
      <c r="BKQ218" s="28"/>
      <c r="BKR218" s="28"/>
      <c r="BKS218" s="28"/>
      <c r="BKT218" s="28"/>
      <c r="BKU218" s="28"/>
      <c r="BKV218" s="28"/>
      <c r="BKW218" s="28"/>
      <c r="BKX218" s="28"/>
      <c r="BKY218" s="28"/>
      <c r="BKZ218" s="28"/>
      <c r="BLA218" s="28"/>
      <c r="BLB218" s="28"/>
      <c r="BLC218" s="28"/>
      <c r="BLD218" s="28"/>
      <c r="BLE218" s="28"/>
      <c r="BLF218" s="28"/>
      <c r="BLG218" s="28"/>
      <c r="BLH218" s="28"/>
      <c r="BLI218" s="28"/>
      <c r="BLJ218" s="28"/>
      <c r="BLK218" s="28"/>
      <c r="BLL218" s="28"/>
      <c r="BLM218" s="28"/>
      <c r="BLN218" s="28"/>
      <c r="BLO218" s="28"/>
      <c r="BLP218" s="28"/>
      <c r="BLQ218" s="28"/>
      <c r="BLR218" s="28"/>
      <c r="BLS218" s="28"/>
      <c r="BLT218" s="28"/>
      <c r="BLU218" s="28"/>
      <c r="BLV218" s="28"/>
      <c r="BLW218" s="28"/>
      <c r="BLX218" s="28"/>
      <c r="BLY218" s="28"/>
      <c r="BLZ218" s="28"/>
      <c r="BMA218" s="28"/>
      <c r="BMB218" s="28"/>
      <c r="BMC218" s="28"/>
      <c r="BMD218" s="28"/>
      <c r="BME218" s="28"/>
      <c r="BMF218" s="28"/>
      <c r="BMG218" s="28"/>
      <c r="BMH218" s="28"/>
      <c r="BMI218" s="28"/>
      <c r="BMJ218" s="28"/>
      <c r="BMK218" s="28"/>
      <c r="BML218" s="28"/>
      <c r="BMM218" s="28"/>
      <c r="BMN218" s="28"/>
      <c r="BMO218" s="28"/>
      <c r="BMP218" s="28"/>
      <c r="BMQ218" s="28"/>
      <c r="BMR218" s="28"/>
      <c r="BMS218" s="28"/>
      <c r="BMT218" s="28"/>
      <c r="BMU218" s="28"/>
      <c r="BMV218" s="28"/>
      <c r="BMW218" s="28"/>
      <c r="BMX218" s="28"/>
      <c r="BMY218" s="28"/>
      <c r="BMZ218" s="28"/>
      <c r="BNA218" s="28"/>
      <c r="BNB218" s="28"/>
      <c r="BNC218" s="28"/>
      <c r="BND218" s="28"/>
      <c r="BNE218" s="28"/>
      <c r="BNF218" s="28"/>
      <c r="BNG218" s="28"/>
      <c r="BNH218" s="28"/>
      <c r="BNI218" s="28"/>
      <c r="BNJ218" s="28"/>
      <c r="BNK218" s="28"/>
      <c r="BNL218" s="28"/>
      <c r="BNM218" s="28"/>
      <c r="BNN218" s="28"/>
      <c r="BNO218" s="28"/>
      <c r="BNP218" s="28"/>
      <c r="BNQ218" s="28"/>
      <c r="BNR218" s="28"/>
      <c r="BNS218" s="28"/>
      <c r="BNT218" s="28"/>
      <c r="BNU218" s="28"/>
      <c r="BNV218" s="28"/>
      <c r="BNW218" s="28"/>
      <c r="BNX218" s="28"/>
      <c r="BNY218" s="28"/>
      <c r="BNZ218" s="28"/>
      <c r="BOA218" s="28"/>
      <c r="BOB218" s="28"/>
      <c r="BOC218" s="28"/>
      <c r="BOD218" s="28"/>
      <c r="BOE218" s="28"/>
      <c r="BOF218" s="28"/>
      <c r="BOG218" s="28"/>
      <c r="BOH218" s="28"/>
      <c r="BOI218" s="28"/>
      <c r="BOJ218" s="28"/>
      <c r="BOK218" s="28"/>
      <c r="BOL218" s="28"/>
      <c r="BOM218" s="28"/>
      <c r="BON218" s="28"/>
      <c r="BOO218" s="28"/>
      <c r="BOP218" s="28"/>
      <c r="BOQ218" s="28"/>
      <c r="BOR218" s="28"/>
      <c r="BOS218" s="28"/>
      <c r="BOT218" s="28"/>
      <c r="BOU218" s="28"/>
      <c r="BOV218" s="28"/>
      <c r="BOW218" s="28"/>
      <c r="BOX218" s="28"/>
      <c r="BOY218" s="28"/>
      <c r="BOZ218" s="28"/>
      <c r="BPA218" s="28"/>
      <c r="BPB218" s="28"/>
      <c r="BPC218" s="28"/>
      <c r="BPD218" s="28"/>
      <c r="BPE218" s="28"/>
      <c r="BPF218" s="28"/>
      <c r="BPG218" s="28"/>
      <c r="BPH218" s="28"/>
      <c r="BPI218" s="28"/>
      <c r="BPJ218" s="28"/>
      <c r="BPK218" s="28"/>
      <c r="BPL218" s="28"/>
      <c r="BPM218" s="28"/>
      <c r="BPN218" s="28"/>
      <c r="BPO218" s="28"/>
      <c r="BPP218" s="28"/>
      <c r="BPQ218" s="28"/>
      <c r="BPR218" s="28"/>
      <c r="BPS218" s="28"/>
      <c r="BPT218" s="28"/>
      <c r="BPU218" s="28"/>
      <c r="BPV218" s="28"/>
      <c r="BPW218" s="28"/>
      <c r="BPX218" s="28"/>
      <c r="BPY218" s="28"/>
      <c r="BPZ218" s="28"/>
      <c r="BQA218" s="28"/>
      <c r="BQB218" s="28"/>
      <c r="BQC218" s="28"/>
      <c r="BQD218" s="28"/>
      <c r="BQE218" s="28"/>
      <c r="BQF218" s="28"/>
      <c r="BQG218" s="28"/>
      <c r="BQH218" s="28"/>
      <c r="BQI218" s="28"/>
      <c r="BQJ218" s="28"/>
      <c r="BQK218" s="28"/>
      <c r="BQL218" s="28"/>
      <c r="BQM218" s="28"/>
      <c r="BQN218" s="28"/>
      <c r="BQO218" s="28"/>
      <c r="BQP218" s="28"/>
      <c r="BQQ218" s="28"/>
      <c r="BQR218" s="28"/>
      <c r="BQS218" s="28"/>
      <c r="BQT218" s="28"/>
      <c r="BQU218" s="28"/>
      <c r="BQV218" s="28"/>
      <c r="BQW218" s="28"/>
      <c r="BQX218" s="28"/>
      <c r="BQY218" s="28"/>
      <c r="BQZ218" s="28"/>
      <c r="BRA218" s="28"/>
      <c r="BRB218" s="28"/>
      <c r="BRC218" s="28"/>
      <c r="BRD218" s="28"/>
      <c r="BRE218" s="28"/>
      <c r="BRF218" s="28"/>
      <c r="BRG218" s="28"/>
      <c r="BRH218" s="28"/>
      <c r="BRI218" s="28"/>
      <c r="BRJ218" s="28"/>
      <c r="BRK218" s="28"/>
      <c r="BRL218" s="28"/>
      <c r="BRM218" s="28"/>
      <c r="BRN218" s="28"/>
      <c r="BRO218" s="28"/>
      <c r="BRP218" s="28"/>
      <c r="BRQ218" s="28"/>
      <c r="BRR218" s="28"/>
      <c r="BRS218" s="28"/>
      <c r="BRT218" s="28"/>
      <c r="BRU218" s="28"/>
      <c r="BRV218" s="28"/>
      <c r="BRW218" s="28"/>
      <c r="BRX218" s="28"/>
      <c r="BRY218" s="28"/>
      <c r="BRZ218" s="28"/>
      <c r="BSA218" s="28"/>
      <c r="BSB218" s="28"/>
      <c r="BSC218" s="28"/>
      <c r="BSD218" s="28"/>
      <c r="BSE218" s="28"/>
      <c r="BSF218" s="28"/>
      <c r="BSG218" s="28"/>
      <c r="BSH218" s="28"/>
      <c r="BSI218" s="28"/>
      <c r="BSJ218" s="28"/>
      <c r="BSK218" s="28"/>
      <c r="BSL218" s="28"/>
      <c r="BSM218" s="28"/>
      <c r="BSN218" s="28"/>
      <c r="BSO218" s="28"/>
      <c r="BSP218" s="28"/>
      <c r="BSQ218" s="28"/>
      <c r="BSR218" s="28"/>
      <c r="BSS218" s="28"/>
      <c r="BST218" s="28"/>
      <c r="BSU218" s="28"/>
      <c r="BSV218" s="28"/>
      <c r="BSW218" s="28"/>
      <c r="BSX218" s="28"/>
      <c r="BSY218" s="28"/>
      <c r="BSZ218" s="28"/>
      <c r="BTA218" s="28"/>
      <c r="BTB218" s="28"/>
      <c r="BTC218" s="28"/>
      <c r="BTD218" s="28"/>
      <c r="BTE218" s="28"/>
      <c r="BTF218" s="28"/>
      <c r="BTG218" s="28"/>
      <c r="BTH218" s="28"/>
      <c r="BTI218" s="28"/>
      <c r="BTJ218" s="28"/>
      <c r="BTK218" s="28"/>
      <c r="BTL218" s="28"/>
      <c r="BTM218" s="28"/>
      <c r="BTN218" s="28"/>
      <c r="BTO218" s="28"/>
      <c r="BTP218" s="28"/>
      <c r="BTQ218" s="28"/>
      <c r="BTR218" s="28"/>
      <c r="BTS218" s="28"/>
      <c r="BTT218" s="28"/>
      <c r="BTU218" s="28"/>
      <c r="BTV218" s="28"/>
      <c r="BTW218" s="28"/>
      <c r="BTX218" s="28"/>
      <c r="BTY218" s="28"/>
      <c r="BTZ218" s="28"/>
      <c r="BUA218" s="28"/>
      <c r="BUB218" s="28"/>
      <c r="BUC218" s="28"/>
      <c r="BUD218" s="28"/>
      <c r="BUE218" s="28"/>
      <c r="BUF218" s="28"/>
      <c r="BUG218" s="28"/>
      <c r="BUH218" s="28"/>
      <c r="BUI218" s="28"/>
      <c r="BUJ218" s="28"/>
      <c r="BUK218" s="28"/>
      <c r="BUL218" s="28"/>
      <c r="BUM218" s="28"/>
      <c r="BUN218" s="28"/>
      <c r="BUO218" s="28"/>
      <c r="BUP218" s="28"/>
      <c r="BUQ218" s="28"/>
      <c r="BUR218" s="28"/>
      <c r="BUS218" s="28"/>
      <c r="BUT218" s="28"/>
      <c r="BUU218" s="28"/>
      <c r="BUV218" s="28"/>
      <c r="BUW218" s="28"/>
      <c r="BUX218" s="28"/>
      <c r="BUY218" s="28"/>
      <c r="BUZ218" s="28"/>
      <c r="BVA218" s="28"/>
      <c r="BVB218" s="28"/>
      <c r="BVC218" s="28"/>
      <c r="BVD218" s="28"/>
      <c r="BVE218" s="28"/>
      <c r="BVF218" s="28"/>
      <c r="BVG218" s="28"/>
      <c r="BVH218" s="28"/>
      <c r="BVI218" s="28"/>
      <c r="BVJ218" s="28"/>
      <c r="BVK218" s="28"/>
      <c r="BVL218" s="28"/>
      <c r="BVM218" s="28"/>
      <c r="BVN218" s="28"/>
      <c r="BVO218" s="28"/>
      <c r="BVP218" s="28"/>
      <c r="BVQ218" s="28"/>
      <c r="BVR218" s="28"/>
      <c r="BVS218" s="28"/>
      <c r="BVT218" s="28"/>
      <c r="BVU218" s="28"/>
      <c r="BVV218" s="28"/>
      <c r="BVW218" s="28"/>
      <c r="BVX218" s="28"/>
      <c r="BVY218" s="28"/>
      <c r="BVZ218" s="28"/>
      <c r="BWA218" s="28"/>
      <c r="BWB218" s="28"/>
      <c r="BWC218" s="28"/>
      <c r="BWD218" s="28"/>
      <c r="BWE218" s="28"/>
      <c r="BWF218" s="28"/>
      <c r="BWG218" s="28"/>
      <c r="BWH218" s="28"/>
      <c r="BWI218" s="28"/>
      <c r="BWJ218" s="28"/>
      <c r="BWK218" s="28"/>
      <c r="BWL218" s="28"/>
      <c r="BWM218" s="28"/>
      <c r="BWN218" s="28"/>
      <c r="BWO218" s="28"/>
      <c r="BWP218" s="28"/>
      <c r="BWQ218" s="28"/>
      <c r="BWR218" s="28"/>
      <c r="BWS218" s="28"/>
      <c r="BWT218" s="28"/>
      <c r="BWU218" s="28"/>
      <c r="BWV218" s="28"/>
      <c r="BWW218" s="28"/>
      <c r="BWX218" s="28"/>
      <c r="BWY218" s="28"/>
      <c r="BWZ218" s="28"/>
      <c r="BXA218" s="28"/>
      <c r="BXB218" s="28"/>
      <c r="BXC218" s="28"/>
      <c r="BXD218" s="28"/>
      <c r="BXE218" s="28"/>
      <c r="BXF218" s="28"/>
      <c r="BXG218" s="28"/>
      <c r="BXH218" s="28"/>
      <c r="BXI218" s="28"/>
      <c r="BXJ218" s="28"/>
      <c r="BXK218" s="28"/>
      <c r="BXL218" s="28"/>
      <c r="BXM218" s="28"/>
      <c r="BXN218" s="28"/>
      <c r="BXO218" s="28"/>
      <c r="BXP218" s="28"/>
      <c r="BXQ218" s="28"/>
      <c r="BXR218" s="28"/>
      <c r="BXS218" s="28"/>
      <c r="BXT218" s="28"/>
      <c r="BXU218" s="28"/>
      <c r="BXV218" s="28"/>
      <c r="BXW218" s="28"/>
      <c r="BXX218" s="28"/>
      <c r="BXY218" s="28"/>
      <c r="BXZ218" s="28"/>
      <c r="BYA218" s="28"/>
      <c r="BYB218" s="28"/>
      <c r="BYC218" s="28"/>
      <c r="BYD218" s="28"/>
      <c r="BYE218" s="28"/>
      <c r="BYF218" s="28"/>
      <c r="BYG218" s="28"/>
      <c r="BYH218" s="28"/>
      <c r="BYI218" s="28"/>
      <c r="BYJ218" s="28"/>
      <c r="BYK218" s="28"/>
      <c r="BYL218" s="28"/>
      <c r="BYM218" s="28"/>
      <c r="BYN218" s="28"/>
      <c r="BYO218" s="28"/>
      <c r="BYP218" s="28"/>
      <c r="BYQ218" s="28"/>
      <c r="BYR218" s="28"/>
      <c r="BYS218" s="28"/>
      <c r="BYT218" s="28"/>
      <c r="BYU218" s="28"/>
      <c r="BYV218" s="28"/>
      <c r="BYW218" s="28"/>
      <c r="BYX218" s="28"/>
      <c r="BYY218" s="28"/>
      <c r="BYZ218" s="28"/>
      <c r="BZA218" s="28"/>
      <c r="BZB218" s="28"/>
      <c r="BZC218" s="28"/>
      <c r="BZD218" s="28"/>
      <c r="BZE218" s="28"/>
      <c r="BZF218" s="28"/>
      <c r="BZG218" s="28"/>
      <c r="BZH218" s="28"/>
      <c r="BZI218" s="28"/>
      <c r="BZJ218" s="28"/>
      <c r="BZK218" s="28"/>
      <c r="BZL218" s="28"/>
      <c r="BZM218" s="28"/>
      <c r="BZN218" s="28"/>
      <c r="BZO218" s="28"/>
      <c r="BZP218" s="28"/>
      <c r="BZQ218" s="28"/>
      <c r="BZR218" s="28"/>
      <c r="BZS218" s="28"/>
      <c r="BZT218" s="28"/>
      <c r="BZU218" s="28"/>
      <c r="BZV218" s="28"/>
      <c r="BZW218" s="28"/>
      <c r="BZX218" s="28"/>
      <c r="BZY218" s="28"/>
      <c r="BZZ218" s="28"/>
      <c r="CAA218" s="28"/>
      <c r="CAB218" s="28"/>
      <c r="CAC218" s="28"/>
      <c r="CAD218" s="28"/>
      <c r="CAE218" s="28"/>
      <c r="CAF218" s="28"/>
      <c r="CAG218" s="28"/>
      <c r="CAH218" s="28"/>
      <c r="CAI218" s="28"/>
      <c r="CAJ218" s="28"/>
      <c r="CAK218" s="28"/>
      <c r="CAL218" s="28"/>
      <c r="CAM218" s="28"/>
      <c r="CAN218" s="28"/>
      <c r="CAO218" s="28"/>
      <c r="CAP218" s="28"/>
      <c r="CAQ218" s="28"/>
      <c r="CAR218" s="28"/>
      <c r="CAS218" s="28"/>
      <c r="CAT218" s="28"/>
      <c r="CAU218" s="28"/>
      <c r="CAV218" s="28"/>
      <c r="CAW218" s="28"/>
      <c r="CAX218" s="28"/>
      <c r="CAY218" s="28"/>
      <c r="CAZ218" s="28"/>
      <c r="CBA218" s="28"/>
      <c r="CBB218" s="28"/>
      <c r="CBC218" s="28"/>
      <c r="CBD218" s="28"/>
      <c r="CBE218" s="28"/>
      <c r="CBF218" s="28"/>
      <c r="CBG218" s="28"/>
      <c r="CBH218" s="28"/>
      <c r="CBI218" s="28"/>
      <c r="CBJ218" s="28"/>
      <c r="CBK218" s="28"/>
      <c r="CBL218" s="28"/>
      <c r="CBM218" s="28"/>
      <c r="CBN218" s="28"/>
      <c r="CBO218" s="28"/>
      <c r="CBP218" s="28"/>
      <c r="CBQ218" s="28"/>
      <c r="CBR218" s="28"/>
      <c r="CBS218" s="28"/>
      <c r="CBT218" s="28"/>
      <c r="CBU218" s="28"/>
      <c r="CBV218" s="28"/>
      <c r="CBW218" s="28"/>
      <c r="CBX218" s="28"/>
      <c r="CBY218" s="28"/>
      <c r="CBZ218" s="28"/>
      <c r="CCA218" s="28"/>
      <c r="CCB218" s="28"/>
      <c r="CCC218" s="28"/>
      <c r="CCD218" s="28"/>
      <c r="CCE218" s="28"/>
      <c r="CCF218" s="28"/>
      <c r="CCG218" s="28"/>
      <c r="CCH218" s="28"/>
      <c r="CCI218" s="28"/>
      <c r="CCJ218" s="28"/>
      <c r="CCK218" s="28"/>
      <c r="CCL218" s="28"/>
      <c r="CCM218" s="28"/>
      <c r="CCN218" s="28"/>
      <c r="CCO218" s="28"/>
      <c r="CCP218" s="28"/>
      <c r="CCQ218" s="28"/>
      <c r="CCR218" s="28"/>
      <c r="CCS218" s="28"/>
      <c r="CCT218" s="28"/>
      <c r="CCU218" s="28"/>
      <c r="CCV218" s="28"/>
      <c r="CCW218" s="28"/>
      <c r="CCX218" s="28"/>
      <c r="CCY218" s="28"/>
      <c r="CCZ218" s="28"/>
      <c r="CDA218" s="28"/>
      <c r="CDB218" s="28"/>
      <c r="CDC218" s="28"/>
      <c r="CDD218" s="28"/>
      <c r="CDE218" s="28"/>
      <c r="CDF218" s="28"/>
      <c r="CDG218" s="28"/>
      <c r="CDH218" s="28"/>
      <c r="CDI218" s="28"/>
      <c r="CDJ218" s="28"/>
      <c r="CDK218" s="28"/>
      <c r="CDL218" s="28"/>
      <c r="CDM218" s="28"/>
      <c r="CDN218" s="28"/>
      <c r="CDO218" s="28"/>
      <c r="CDP218" s="28"/>
      <c r="CDQ218" s="28"/>
      <c r="CDR218" s="28"/>
      <c r="CDS218" s="28"/>
      <c r="CDT218" s="28"/>
      <c r="CDU218" s="28"/>
      <c r="CDV218" s="28"/>
      <c r="CDW218" s="28"/>
      <c r="CDX218" s="28"/>
      <c r="CDY218" s="28"/>
      <c r="CDZ218" s="28"/>
      <c r="CEA218" s="28"/>
      <c r="CEB218" s="28"/>
      <c r="CEC218" s="28"/>
      <c r="CED218" s="28"/>
      <c r="CEE218" s="28"/>
      <c r="CEF218" s="28"/>
      <c r="CEG218" s="28"/>
      <c r="CEH218" s="28"/>
      <c r="CEI218" s="28"/>
      <c r="CEJ218" s="28"/>
      <c r="CEK218" s="28"/>
      <c r="CEL218" s="28"/>
      <c r="CEM218" s="28"/>
      <c r="CEN218" s="28"/>
      <c r="CEO218" s="28"/>
      <c r="CEP218" s="28"/>
      <c r="CEQ218" s="28"/>
      <c r="CER218" s="28"/>
      <c r="CES218" s="28"/>
      <c r="CET218" s="28"/>
      <c r="CEU218" s="28"/>
      <c r="CEV218" s="28"/>
      <c r="CEW218" s="28"/>
      <c r="CEX218" s="28"/>
      <c r="CEY218" s="28"/>
      <c r="CEZ218" s="28"/>
      <c r="CFA218" s="28"/>
      <c r="CFB218" s="28"/>
      <c r="CFC218" s="28"/>
      <c r="CFD218" s="28"/>
      <c r="CFE218" s="28"/>
      <c r="CFF218" s="28"/>
      <c r="CFG218" s="28"/>
      <c r="CFH218" s="28"/>
      <c r="CFI218" s="28"/>
      <c r="CFJ218" s="28"/>
      <c r="CFK218" s="28"/>
      <c r="CFL218" s="28"/>
      <c r="CFM218" s="28"/>
      <c r="CFN218" s="28"/>
      <c r="CFO218" s="28"/>
      <c r="CFP218" s="28"/>
      <c r="CFQ218" s="28"/>
      <c r="CFR218" s="28"/>
      <c r="CFS218" s="28"/>
      <c r="CFT218" s="28"/>
      <c r="CFU218" s="28"/>
      <c r="CFV218" s="28"/>
      <c r="CFW218" s="28"/>
      <c r="CFX218" s="28"/>
      <c r="CFY218" s="28"/>
      <c r="CFZ218" s="28"/>
      <c r="CGA218" s="28"/>
      <c r="CGB218" s="28"/>
      <c r="CGC218" s="28"/>
      <c r="CGD218" s="28"/>
      <c r="CGE218" s="28"/>
      <c r="CGF218" s="28"/>
      <c r="CGG218" s="28"/>
      <c r="CGH218" s="28"/>
      <c r="CGI218" s="28"/>
      <c r="CGJ218" s="28"/>
      <c r="CGK218" s="28"/>
      <c r="CGL218" s="28"/>
      <c r="CGM218" s="28"/>
      <c r="CGN218" s="28"/>
      <c r="CGO218" s="28"/>
      <c r="CGP218" s="28"/>
      <c r="CGQ218" s="28"/>
      <c r="CGR218" s="28"/>
      <c r="CGS218" s="28"/>
      <c r="CGT218" s="28"/>
      <c r="CGU218" s="28"/>
      <c r="CGV218" s="28"/>
      <c r="CGW218" s="28"/>
      <c r="CGX218" s="28"/>
      <c r="CGY218" s="28"/>
      <c r="CGZ218" s="28"/>
      <c r="CHA218" s="28"/>
      <c r="CHB218" s="28"/>
      <c r="CHC218" s="28"/>
      <c r="CHD218" s="28"/>
      <c r="CHE218" s="28"/>
      <c r="CHF218" s="28"/>
      <c r="CHG218" s="28"/>
      <c r="CHH218" s="28"/>
      <c r="CHI218" s="28"/>
      <c r="CHJ218" s="28"/>
      <c r="CHK218" s="28"/>
      <c r="CHL218" s="28"/>
      <c r="CHM218" s="28"/>
      <c r="CHN218" s="28"/>
      <c r="CHO218" s="28"/>
      <c r="CHP218" s="28"/>
      <c r="CHQ218" s="28"/>
      <c r="CHR218" s="28"/>
      <c r="CHS218" s="28"/>
      <c r="CHT218" s="28"/>
      <c r="CHU218" s="28"/>
      <c r="CHV218" s="28"/>
      <c r="CHW218" s="28"/>
      <c r="CHX218" s="28"/>
      <c r="CHY218" s="28"/>
      <c r="CHZ218" s="28"/>
      <c r="CIA218" s="28"/>
      <c r="CIB218" s="28"/>
      <c r="CIC218" s="28"/>
      <c r="CID218" s="28"/>
      <c r="CIE218" s="28"/>
      <c r="CIF218" s="28"/>
      <c r="CIG218" s="28"/>
      <c r="CIH218" s="28"/>
      <c r="CII218" s="28"/>
      <c r="CIJ218" s="28"/>
      <c r="CIK218" s="28"/>
      <c r="CIL218" s="28"/>
      <c r="CIM218" s="28"/>
      <c r="CIN218" s="28"/>
      <c r="CIO218" s="28"/>
      <c r="CIP218" s="28"/>
      <c r="CIQ218" s="28"/>
      <c r="CIR218" s="28"/>
      <c r="CIS218" s="28"/>
      <c r="CIT218" s="28"/>
      <c r="CIU218" s="28"/>
      <c r="CIV218" s="28"/>
      <c r="CIW218" s="28"/>
      <c r="CIX218" s="28"/>
      <c r="CIY218" s="28"/>
      <c r="CIZ218" s="28"/>
      <c r="CJA218" s="28"/>
      <c r="CJB218" s="28"/>
      <c r="CJC218" s="28"/>
      <c r="CJD218" s="28"/>
      <c r="CJE218" s="28"/>
      <c r="CJF218" s="28"/>
      <c r="CJG218" s="28"/>
      <c r="CJH218" s="28"/>
      <c r="CJI218" s="28"/>
      <c r="CJJ218" s="28"/>
      <c r="CJK218" s="28"/>
      <c r="CJL218" s="28"/>
      <c r="CJM218" s="28"/>
      <c r="CJN218" s="28"/>
      <c r="CJO218" s="28"/>
      <c r="CJP218" s="28"/>
      <c r="CJQ218" s="28"/>
      <c r="CJR218" s="28"/>
      <c r="CJS218" s="28"/>
      <c r="CJT218" s="28"/>
      <c r="CJU218" s="28"/>
      <c r="CJV218" s="28"/>
      <c r="CJW218" s="28"/>
      <c r="CJX218" s="28"/>
      <c r="CJY218" s="28"/>
      <c r="CJZ218" s="28"/>
      <c r="CKA218" s="28"/>
      <c r="CKB218" s="28"/>
      <c r="CKC218" s="28"/>
      <c r="CKD218" s="28"/>
      <c r="CKE218" s="28"/>
      <c r="CKF218" s="28"/>
      <c r="CKG218" s="28"/>
      <c r="CKH218" s="28"/>
      <c r="CKI218" s="28"/>
      <c r="CKJ218" s="28"/>
      <c r="CKK218" s="28"/>
      <c r="CKL218" s="28"/>
      <c r="CKM218" s="28"/>
      <c r="CKN218" s="28"/>
      <c r="CKO218" s="28"/>
      <c r="CKP218" s="28"/>
      <c r="CKQ218" s="28"/>
      <c r="CKR218" s="28"/>
      <c r="CKS218" s="28"/>
      <c r="CKT218" s="28"/>
      <c r="CKU218" s="28"/>
      <c r="CKV218" s="28"/>
      <c r="CKW218" s="28"/>
      <c r="CKX218" s="28"/>
      <c r="CKY218" s="28"/>
      <c r="CKZ218" s="28"/>
      <c r="CLA218" s="28"/>
      <c r="CLB218" s="28"/>
      <c r="CLC218" s="28"/>
      <c r="CLD218" s="28"/>
      <c r="CLE218" s="28"/>
      <c r="CLF218" s="28"/>
      <c r="CLG218" s="28"/>
      <c r="CLH218" s="28"/>
      <c r="CLI218" s="28"/>
      <c r="CLJ218" s="28"/>
      <c r="CLK218" s="28"/>
      <c r="CLL218" s="28"/>
      <c r="CLM218" s="28"/>
      <c r="CLN218" s="28"/>
      <c r="CLO218" s="28"/>
      <c r="CLP218" s="28"/>
      <c r="CLQ218" s="28"/>
      <c r="CLR218" s="28"/>
      <c r="CLS218" s="28"/>
      <c r="CLT218" s="28"/>
      <c r="CLU218" s="28"/>
      <c r="CLV218" s="28"/>
      <c r="CLW218" s="28"/>
      <c r="CLX218" s="28"/>
      <c r="CLY218" s="28"/>
      <c r="CLZ218" s="28"/>
      <c r="CMA218" s="28"/>
      <c r="CMB218" s="28"/>
      <c r="CMC218" s="28"/>
      <c r="CMD218" s="28"/>
      <c r="CME218" s="28"/>
      <c r="CMF218" s="28"/>
      <c r="CMG218" s="28"/>
      <c r="CMH218" s="28"/>
      <c r="CMI218" s="28"/>
      <c r="CMJ218" s="28"/>
      <c r="CMK218" s="28"/>
      <c r="CML218" s="28"/>
      <c r="CMM218" s="28"/>
      <c r="CMN218" s="28"/>
      <c r="CMO218" s="28"/>
      <c r="CMP218" s="28"/>
      <c r="CMQ218" s="28"/>
      <c r="CMR218" s="28"/>
      <c r="CMS218" s="28"/>
      <c r="CMT218" s="28"/>
      <c r="CMU218" s="28"/>
      <c r="CMV218" s="28"/>
      <c r="CMW218" s="28"/>
      <c r="CMX218" s="28"/>
      <c r="CMY218" s="28"/>
      <c r="CMZ218" s="28"/>
      <c r="CNA218" s="28"/>
      <c r="CNB218" s="28"/>
      <c r="CNC218" s="28"/>
      <c r="CND218" s="28"/>
      <c r="CNE218" s="28"/>
      <c r="CNF218" s="28"/>
      <c r="CNG218" s="28"/>
      <c r="CNH218" s="28"/>
      <c r="CNI218" s="28"/>
      <c r="CNJ218" s="28"/>
      <c r="CNK218" s="28"/>
      <c r="CNL218" s="28"/>
      <c r="CNM218" s="28"/>
      <c r="CNN218" s="28"/>
      <c r="CNO218" s="28"/>
      <c r="CNP218" s="28"/>
      <c r="CNQ218" s="28"/>
      <c r="CNR218" s="28"/>
      <c r="CNS218" s="28"/>
      <c r="CNT218" s="28"/>
      <c r="CNU218" s="28"/>
      <c r="CNV218" s="28"/>
      <c r="CNW218" s="28"/>
      <c r="CNX218" s="28"/>
      <c r="CNY218" s="28"/>
      <c r="CNZ218" s="28"/>
      <c r="COA218" s="28"/>
      <c r="COB218" s="28"/>
      <c r="COC218" s="28"/>
      <c r="COD218" s="28"/>
      <c r="COE218" s="28"/>
      <c r="COF218" s="28"/>
      <c r="COG218" s="28"/>
      <c r="COH218" s="28"/>
      <c r="COI218" s="28"/>
      <c r="COJ218" s="28"/>
      <c r="COK218" s="28"/>
      <c r="COL218" s="28"/>
      <c r="COM218" s="28"/>
      <c r="CON218" s="28"/>
      <c r="COO218" s="28"/>
      <c r="COP218" s="28"/>
      <c r="COQ218" s="28"/>
      <c r="COR218" s="28"/>
      <c r="COS218" s="28"/>
      <c r="COT218" s="28"/>
      <c r="COU218" s="28"/>
      <c r="COV218" s="28"/>
      <c r="COW218" s="28"/>
      <c r="COX218" s="28"/>
      <c r="COY218" s="28"/>
      <c r="COZ218" s="28"/>
      <c r="CPA218" s="28"/>
      <c r="CPB218" s="28"/>
      <c r="CPC218" s="28"/>
      <c r="CPD218" s="28"/>
      <c r="CPE218" s="28"/>
      <c r="CPF218" s="28"/>
      <c r="CPG218" s="28"/>
      <c r="CPH218" s="28"/>
      <c r="CPI218" s="28"/>
      <c r="CPJ218" s="28"/>
      <c r="CPK218" s="28"/>
      <c r="CPL218" s="28"/>
      <c r="CPM218" s="28"/>
      <c r="CPN218" s="28"/>
      <c r="CPO218" s="28"/>
      <c r="CPP218" s="28"/>
      <c r="CPQ218" s="28"/>
      <c r="CPR218" s="28"/>
      <c r="CPS218" s="28"/>
      <c r="CPT218" s="28"/>
      <c r="CPU218" s="28"/>
      <c r="CPV218" s="28"/>
      <c r="CPW218" s="28"/>
      <c r="CPX218" s="28"/>
      <c r="CPY218" s="28"/>
      <c r="CPZ218" s="28"/>
      <c r="CQA218" s="28"/>
      <c r="CQB218" s="28"/>
      <c r="CQC218" s="28"/>
      <c r="CQD218" s="28"/>
      <c r="CQE218" s="28"/>
      <c r="CQF218" s="28"/>
      <c r="CQG218" s="28"/>
      <c r="CQH218" s="28"/>
      <c r="CQI218" s="28"/>
      <c r="CQJ218" s="28"/>
      <c r="CQK218" s="28"/>
      <c r="CQL218" s="28"/>
      <c r="CQM218" s="28"/>
      <c r="CQN218" s="28"/>
      <c r="CQO218" s="28"/>
      <c r="CQP218" s="28"/>
      <c r="CQQ218" s="28"/>
      <c r="CQR218" s="28"/>
      <c r="CQS218" s="28"/>
      <c r="CQT218" s="28"/>
      <c r="CQU218" s="28"/>
      <c r="CQV218" s="28"/>
      <c r="CQW218" s="28"/>
      <c r="CQX218" s="28"/>
      <c r="CQY218" s="28"/>
      <c r="CQZ218" s="28"/>
      <c r="CRA218" s="28"/>
      <c r="CRB218" s="28"/>
      <c r="CRC218" s="28"/>
      <c r="CRD218" s="28"/>
      <c r="CRE218" s="28"/>
      <c r="CRF218" s="28"/>
      <c r="CRG218" s="28"/>
      <c r="CRH218" s="28"/>
      <c r="CRI218" s="28"/>
      <c r="CRJ218" s="28"/>
      <c r="CRK218" s="28"/>
      <c r="CRL218" s="28"/>
      <c r="CRM218" s="28"/>
      <c r="CRN218" s="28"/>
      <c r="CRO218" s="28"/>
      <c r="CRP218" s="28"/>
      <c r="CRQ218" s="28"/>
      <c r="CRR218" s="28"/>
      <c r="CRS218" s="28"/>
      <c r="CRT218" s="28"/>
      <c r="CRU218" s="28"/>
      <c r="CRV218" s="28"/>
      <c r="CRW218" s="28"/>
      <c r="CRX218" s="28"/>
      <c r="CRY218" s="28"/>
      <c r="CRZ218" s="28"/>
      <c r="CSA218" s="28"/>
      <c r="CSB218" s="28"/>
      <c r="CSC218" s="28"/>
      <c r="CSD218" s="28"/>
      <c r="CSE218" s="28"/>
      <c r="CSF218" s="28"/>
      <c r="CSG218" s="28"/>
      <c r="CSH218" s="28"/>
      <c r="CSI218" s="28"/>
      <c r="CSJ218" s="28"/>
      <c r="CSK218" s="28"/>
      <c r="CSL218" s="28"/>
      <c r="CSM218" s="28"/>
      <c r="CSN218" s="28"/>
      <c r="CSO218" s="28"/>
      <c r="CSP218" s="28"/>
      <c r="CSQ218" s="28"/>
      <c r="CSR218" s="28"/>
      <c r="CSS218" s="28"/>
      <c r="CST218" s="28"/>
      <c r="CSU218" s="28"/>
      <c r="CSV218" s="28"/>
      <c r="CSW218" s="28"/>
      <c r="CSX218" s="28"/>
      <c r="CSY218" s="28"/>
      <c r="CSZ218" s="28"/>
      <c r="CTA218" s="28"/>
      <c r="CTB218" s="28"/>
      <c r="CTC218" s="28"/>
      <c r="CTD218" s="28"/>
      <c r="CTE218" s="28"/>
      <c r="CTF218" s="28"/>
      <c r="CTG218" s="28"/>
      <c r="CTH218" s="28"/>
      <c r="CTI218" s="28"/>
      <c r="CTJ218" s="28"/>
      <c r="CTK218" s="28"/>
      <c r="CTL218" s="28"/>
      <c r="CTM218" s="28"/>
      <c r="CTN218" s="28"/>
      <c r="CTO218" s="28"/>
      <c r="CTP218" s="28"/>
      <c r="CTQ218" s="28"/>
      <c r="CTR218" s="28"/>
      <c r="CTS218" s="28"/>
      <c r="CTT218" s="28"/>
      <c r="CTU218" s="28"/>
      <c r="CTV218" s="28"/>
      <c r="CTW218" s="28"/>
      <c r="CTX218" s="28"/>
      <c r="CTY218" s="28"/>
      <c r="CTZ218" s="28"/>
      <c r="CUA218" s="28"/>
      <c r="CUB218" s="28"/>
      <c r="CUC218" s="28"/>
      <c r="CUD218" s="28"/>
      <c r="CUE218" s="28"/>
      <c r="CUF218" s="28"/>
      <c r="CUG218" s="28"/>
      <c r="CUH218" s="28"/>
      <c r="CUI218" s="28"/>
      <c r="CUJ218" s="28"/>
      <c r="CUK218" s="28"/>
      <c r="CUL218" s="28"/>
      <c r="CUM218" s="28"/>
      <c r="CUN218" s="28"/>
      <c r="CUO218" s="28"/>
      <c r="CUP218" s="28"/>
      <c r="CUQ218" s="28"/>
      <c r="CUR218" s="28"/>
      <c r="CUS218" s="28"/>
      <c r="CUT218" s="28"/>
      <c r="CUU218" s="28"/>
      <c r="CUV218" s="28"/>
      <c r="CUW218" s="28"/>
      <c r="CUX218" s="28"/>
      <c r="CUY218" s="28"/>
      <c r="CUZ218" s="28"/>
      <c r="CVA218" s="28"/>
      <c r="CVB218" s="28"/>
      <c r="CVC218" s="28"/>
      <c r="CVD218" s="28"/>
      <c r="CVE218" s="28"/>
      <c r="CVF218" s="28"/>
      <c r="CVG218" s="28"/>
      <c r="CVH218" s="28"/>
      <c r="CVI218" s="28"/>
      <c r="CVJ218" s="28"/>
      <c r="CVK218" s="28"/>
      <c r="CVL218" s="28"/>
      <c r="CVM218" s="28"/>
      <c r="CVN218" s="28"/>
      <c r="CVO218" s="28"/>
      <c r="CVP218" s="28"/>
      <c r="CVQ218" s="28"/>
      <c r="CVR218" s="28"/>
      <c r="CVS218" s="28"/>
      <c r="CVT218" s="28"/>
      <c r="CVU218" s="28"/>
      <c r="CVV218" s="28"/>
      <c r="CVW218" s="28"/>
      <c r="CVX218" s="28"/>
      <c r="CVY218" s="28"/>
      <c r="CVZ218" s="28"/>
      <c r="CWA218" s="28"/>
      <c r="CWB218" s="28"/>
      <c r="CWC218" s="28"/>
      <c r="CWD218" s="28"/>
      <c r="CWE218" s="28"/>
      <c r="CWF218" s="28"/>
      <c r="CWG218" s="28"/>
      <c r="CWH218" s="28"/>
      <c r="CWI218" s="28"/>
      <c r="CWJ218" s="28"/>
      <c r="CWK218" s="28"/>
      <c r="CWL218" s="28"/>
      <c r="CWM218" s="28"/>
      <c r="CWN218" s="28"/>
      <c r="CWO218" s="28"/>
      <c r="CWP218" s="28"/>
      <c r="CWQ218" s="28"/>
      <c r="CWR218" s="28"/>
      <c r="CWS218" s="28"/>
      <c r="CWT218" s="28"/>
      <c r="CWU218" s="28"/>
      <c r="CWV218" s="28"/>
      <c r="CWW218" s="28"/>
      <c r="CWX218" s="28"/>
      <c r="CWY218" s="28"/>
      <c r="CWZ218" s="28"/>
      <c r="CXA218" s="28"/>
      <c r="CXB218" s="28"/>
      <c r="CXC218" s="28"/>
      <c r="CXD218" s="28"/>
      <c r="CXE218" s="28"/>
      <c r="CXF218" s="28"/>
      <c r="CXG218" s="28"/>
      <c r="CXH218" s="28"/>
      <c r="CXI218" s="28"/>
      <c r="CXJ218" s="28"/>
      <c r="CXK218" s="28"/>
      <c r="CXL218" s="28"/>
      <c r="CXM218" s="28"/>
      <c r="CXN218" s="28"/>
      <c r="CXO218" s="28"/>
      <c r="CXP218" s="28"/>
      <c r="CXQ218" s="28"/>
      <c r="CXR218" s="28"/>
      <c r="CXS218" s="28"/>
      <c r="CXT218" s="28"/>
      <c r="CXU218" s="28"/>
      <c r="CXV218" s="28"/>
      <c r="CXW218" s="28"/>
      <c r="CXX218" s="28"/>
      <c r="CXY218" s="28"/>
      <c r="CXZ218" s="28"/>
      <c r="CYA218" s="28"/>
      <c r="CYB218" s="28"/>
      <c r="CYC218" s="28"/>
      <c r="CYD218" s="28"/>
      <c r="CYE218" s="28"/>
      <c r="CYF218" s="28"/>
      <c r="CYG218" s="28"/>
      <c r="CYH218" s="28"/>
      <c r="CYI218" s="28"/>
      <c r="CYJ218" s="28"/>
      <c r="CYK218" s="28"/>
      <c r="CYL218" s="28"/>
      <c r="CYM218" s="28"/>
      <c r="CYN218" s="28"/>
      <c r="CYO218" s="28"/>
      <c r="CYP218" s="28"/>
      <c r="CYQ218" s="28"/>
      <c r="CYR218" s="28"/>
      <c r="CYS218" s="28"/>
      <c r="CYT218" s="28"/>
      <c r="CYU218" s="28"/>
      <c r="CYV218" s="28"/>
      <c r="CYW218" s="28"/>
      <c r="CYX218" s="28"/>
      <c r="CYY218" s="28"/>
      <c r="CYZ218" s="28"/>
      <c r="CZA218" s="28"/>
      <c r="CZB218" s="28"/>
      <c r="CZC218" s="28"/>
      <c r="CZD218" s="28"/>
      <c r="CZE218" s="28"/>
      <c r="CZF218" s="28"/>
      <c r="CZG218" s="28"/>
      <c r="CZH218" s="28"/>
      <c r="CZI218" s="28"/>
      <c r="CZJ218" s="28"/>
      <c r="CZK218" s="28"/>
      <c r="CZL218" s="28"/>
      <c r="CZM218" s="28"/>
      <c r="CZN218" s="28"/>
      <c r="CZO218" s="28"/>
      <c r="CZP218" s="28"/>
      <c r="CZQ218" s="28"/>
      <c r="CZR218" s="28"/>
      <c r="CZS218" s="28"/>
      <c r="CZT218" s="28"/>
      <c r="CZU218" s="28"/>
      <c r="CZV218" s="28"/>
      <c r="CZW218" s="28"/>
      <c r="CZX218" s="28"/>
      <c r="CZY218" s="28"/>
      <c r="CZZ218" s="28"/>
      <c r="DAA218" s="28"/>
      <c r="DAB218" s="28"/>
      <c r="DAC218" s="28"/>
      <c r="DAD218" s="28"/>
      <c r="DAE218" s="28"/>
      <c r="DAF218" s="28"/>
      <c r="DAG218" s="28"/>
      <c r="DAH218" s="28"/>
      <c r="DAI218" s="28"/>
      <c r="DAJ218" s="28"/>
      <c r="DAK218" s="28"/>
      <c r="DAL218" s="28"/>
      <c r="DAM218" s="28"/>
      <c r="DAN218" s="28"/>
      <c r="DAO218" s="28"/>
      <c r="DAP218" s="28"/>
      <c r="DAQ218" s="28"/>
      <c r="DAR218" s="28"/>
      <c r="DAS218" s="28"/>
      <c r="DAT218" s="28"/>
      <c r="DAU218" s="28"/>
      <c r="DAV218" s="28"/>
      <c r="DAW218" s="28"/>
      <c r="DAX218" s="28"/>
      <c r="DAY218" s="28"/>
      <c r="DAZ218" s="28"/>
      <c r="DBA218" s="28"/>
      <c r="DBB218" s="28"/>
      <c r="DBC218" s="28"/>
      <c r="DBD218" s="28"/>
      <c r="DBE218" s="28"/>
      <c r="DBF218" s="28"/>
      <c r="DBG218" s="28"/>
      <c r="DBH218" s="28"/>
      <c r="DBI218" s="28"/>
      <c r="DBJ218" s="28"/>
      <c r="DBK218" s="28"/>
      <c r="DBL218" s="28"/>
      <c r="DBM218" s="28"/>
      <c r="DBN218" s="28"/>
      <c r="DBO218" s="28"/>
      <c r="DBP218" s="28"/>
      <c r="DBQ218" s="28"/>
      <c r="DBR218" s="28"/>
      <c r="DBS218" s="28"/>
      <c r="DBT218" s="28"/>
      <c r="DBU218" s="28"/>
      <c r="DBV218" s="28"/>
      <c r="DBW218" s="28"/>
      <c r="DBX218" s="28"/>
      <c r="DBY218" s="28"/>
      <c r="DBZ218" s="28"/>
      <c r="DCA218" s="28"/>
      <c r="DCB218" s="28"/>
      <c r="DCC218" s="28"/>
      <c r="DCD218" s="28"/>
      <c r="DCE218" s="28"/>
      <c r="DCF218" s="28"/>
      <c r="DCG218" s="28"/>
      <c r="DCH218" s="28"/>
      <c r="DCI218" s="28"/>
      <c r="DCJ218" s="28"/>
      <c r="DCK218" s="28"/>
      <c r="DCL218" s="28"/>
      <c r="DCM218" s="28"/>
      <c r="DCN218" s="28"/>
      <c r="DCO218" s="28"/>
      <c r="DCP218" s="28"/>
      <c r="DCQ218" s="28"/>
      <c r="DCR218" s="28"/>
      <c r="DCS218" s="28"/>
      <c r="DCT218" s="28"/>
      <c r="DCU218" s="28"/>
      <c r="DCV218" s="28"/>
      <c r="DCW218" s="28"/>
      <c r="DCX218" s="28"/>
      <c r="DCY218" s="28"/>
      <c r="DCZ218" s="28"/>
      <c r="DDA218" s="28"/>
      <c r="DDB218" s="28"/>
      <c r="DDC218" s="28"/>
      <c r="DDD218" s="28"/>
      <c r="DDE218" s="28"/>
      <c r="DDF218" s="28"/>
      <c r="DDG218" s="28"/>
      <c r="DDH218" s="28"/>
      <c r="DDI218" s="28"/>
      <c r="DDJ218" s="28"/>
      <c r="DDK218" s="28"/>
      <c r="DDL218" s="28"/>
      <c r="DDM218" s="28"/>
      <c r="DDN218" s="28"/>
      <c r="DDO218" s="28"/>
      <c r="DDP218" s="28"/>
      <c r="DDQ218" s="28"/>
      <c r="DDR218" s="28"/>
      <c r="DDS218" s="28"/>
      <c r="DDT218" s="28"/>
      <c r="DDU218" s="28"/>
      <c r="DDV218" s="28"/>
      <c r="DDW218" s="28"/>
      <c r="DDX218" s="28"/>
      <c r="DDY218" s="28"/>
      <c r="DDZ218" s="28"/>
      <c r="DEA218" s="28"/>
      <c r="DEB218" s="28"/>
      <c r="DEC218" s="28"/>
      <c r="DED218" s="28"/>
      <c r="DEE218" s="28"/>
      <c r="DEF218" s="28"/>
      <c r="DEG218" s="28"/>
      <c r="DEH218" s="28"/>
      <c r="DEI218" s="28"/>
      <c r="DEJ218" s="28"/>
      <c r="DEK218" s="28"/>
      <c r="DEL218" s="28"/>
      <c r="DEM218" s="28"/>
      <c r="DEN218" s="28"/>
      <c r="DEO218" s="28"/>
      <c r="DEP218" s="28"/>
      <c r="DEQ218" s="28"/>
      <c r="DER218" s="28"/>
      <c r="DES218" s="28"/>
      <c r="DET218" s="28"/>
      <c r="DEU218" s="28"/>
      <c r="DEV218" s="28"/>
      <c r="DEW218" s="28"/>
      <c r="DEX218" s="28"/>
      <c r="DEY218" s="28"/>
      <c r="DEZ218" s="28"/>
      <c r="DFA218" s="28"/>
      <c r="DFB218" s="28"/>
      <c r="DFC218" s="28"/>
      <c r="DFD218" s="28"/>
      <c r="DFE218" s="28"/>
      <c r="DFF218" s="28"/>
      <c r="DFG218" s="28"/>
      <c r="DFH218" s="28"/>
      <c r="DFI218" s="28"/>
      <c r="DFJ218" s="28"/>
      <c r="DFK218" s="28"/>
      <c r="DFL218" s="28"/>
      <c r="DFM218" s="28"/>
      <c r="DFN218" s="28"/>
      <c r="DFO218" s="28"/>
      <c r="DFP218" s="28"/>
      <c r="DFQ218" s="28"/>
      <c r="DFR218" s="28"/>
      <c r="DFS218" s="28"/>
      <c r="DFT218" s="28"/>
      <c r="DFU218" s="28"/>
      <c r="DFV218" s="28"/>
      <c r="DFW218" s="28"/>
      <c r="DFX218" s="28"/>
      <c r="DFY218" s="28"/>
      <c r="DFZ218" s="28"/>
      <c r="DGA218" s="28"/>
      <c r="DGB218" s="28"/>
      <c r="DGC218" s="28"/>
      <c r="DGD218" s="28"/>
      <c r="DGE218" s="28"/>
      <c r="DGF218" s="28"/>
      <c r="DGG218" s="28"/>
      <c r="DGH218" s="28"/>
      <c r="DGI218" s="28"/>
      <c r="DGJ218" s="28"/>
      <c r="DGK218" s="28"/>
      <c r="DGL218" s="28"/>
      <c r="DGM218" s="28"/>
      <c r="DGN218" s="28"/>
      <c r="DGO218" s="28"/>
      <c r="DGP218" s="28"/>
      <c r="DGQ218" s="28"/>
      <c r="DGR218" s="28"/>
      <c r="DGS218" s="28"/>
      <c r="DGT218" s="28"/>
      <c r="DGU218" s="28"/>
      <c r="DGV218" s="28"/>
      <c r="DGW218" s="28"/>
      <c r="DGX218" s="28"/>
      <c r="DGY218" s="28"/>
      <c r="DGZ218" s="28"/>
      <c r="DHA218" s="28"/>
      <c r="DHB218" s="28"/>
      <c r="DHC218" s="28"/>
      <c r="DHD218" s="28"/>
      <c r="DHE218" s="28"/>
      <c r="DHF218" s="28"/>
      <c r="DHG218" s="28"/>
      <c r="DHH218" s="28"/>
      <c r="DHI218" s="28"/>
      <c r="DHJ218" s="28"/>
      <c r="DHK218" s="28"/>
      <c r="DHL218" s="28"/>
      <c r="DHM218" s="28"/>
      <c r="DHN218" s="28"/>
      <c r="DHO218" s="28"/>
      <c r="DHP218" s="28"/>
      <c r="DHQ218" s="28"/>
      <c r="DHR218" s="28"/>
      <c r="DHS218" s="28"/>
      <c r="DHT218" s="28"/>
      <c r="DHU218" s="28"/>
      <c r="DHV218" s="28"/>
      <c r="DHW218" s="28"/>
      <c r="DHX218" s="28"/>
      <c r="DHY218" s="28"/>
      <c r="DHZ218" s="28"/>
      <c r="DIA218" s="28"/>
      <c r="DIB218" s="28"/>
      <c r="DIC218" s="28"/>
      <c r="DID218" s="28"/>
      <c r="DIE218" s="28"/>
      <c r="DIF218" s="28"/>
      <c r="DIG218" s="28"/>
      <c r="DIH218" s="28"/>
      <c r="DII218" s="28"/>
      <c r="DIJ218" s="28"/>
      <c r="DIK218" s="28"/>
      <c r="DIL218" s="28"/>
      <c r="DIM218" s="28"/>
      <c r="DIN218" s="28"/>
      <c r="DIO218" s="28"/>
      <c r="DIP218" s="28"/>
      <c r="DIQ218" s="28"/>
      <c r="DIR218" s="28"/>
      <c r="DIS218" s="28"/>
      <c r="DIT218" s="28"/>
      <c r="DIU218" s="28"/>
      <c r="DIV218" s="28"/>
      <c r="DIW218" s="28"/>
      <c r="DIX218" s="28"/>
      <c r="DIY218" s="28"/>
      <c r="DIZ218" s="28"/>
      <c r="DJA218" s="28"/>
      <c r="DJB218" s="28"/>
      <c r="DJC218" s="28"/>
      <c r="DJD218" s="28"/>
      <c r="DJE218" s="28"/>
      <c r="DJF218" s="28"/>
      <c r="DJG218" s="28"/>
      <c r="DJH218" s="28"/>
      <c r="DJI218" s="28"/>
      <c r="DJJ218" s="28"/>
      <c r="DJK218" s="28"/>
      <c r="DJL218" s="28"/>
      <c r="DJM218" s="28"/>
      <c r="DJN218" s="28"/>
      <c r="DJO218" s="28"/>
      <c r="DJP218" s="28"/>
      <c r="DJQ218" s="28"/>
      <c r="DJR218" s="28"/>
      <c r="DJS218" s="28"/>
      <c r="DJT218" s="28"/>
      <c r="DJU218" s="28"/>
      <c r="DJV218" s="28"/>
      <c r="DJW218" s="28"/>
      <c r="DJX218" s="28"/>
      <c r="DJY218" s="28"/>
      <c r="DJZ218" s="28"/>
      <c r="DKA218" s="28"/>
      <c r="DKB218" s="28"/>
      <c r="DKC218" s="28"/>
      <c r="DKD218" s="28"/>
      <c r="DKE218" s="28"/>
      <c r="DKF218" s="28"/>
      <c r="DKG218" s="28"/>
      <c r="DKH218" s="28"/>
      <c r="DKI218" s="28"/>
      <c r="DKJ218" s="28"/>
      <c r="DKK218" s="28"/>
      <c r="DKL218" s="28"/>
      <c r="DKM218" s="28"/>
      <c r="DKN218" s="28"/>
      <c r="DKO218" s="28"/>
      <c r="DKP218" s="28"/>
      <c r="DKQ218" s="28"/>
      <c r="DKR218" s="28"/>
      <c r="DKS218" s="28"/>
      <c r="DKT218" s="28"/>
      <c r="DKU218" s="28"/>
      <c r="DKV218" s="28"/>
      <c r="DKW218" s="28"/>
      <c r="DKX218" s="28"/>
      <c r="DKY218" s="28"/>
      <c r="DKZ218" s="28"/>
      <c r="DLA218" s="28"/>
      <c r="DLB218" s="28"/>
      <c r="DLC218" s="28"/>
      <c r="DLD218" s="28"/>
      <c r="DLE218" s="28"/>
      <c r="DLF218" s="28"/>
      <c r="DLG218" s="28"/>
      <c r="DLH218" s="28"/>
      <c r="DLI218" s="28"/>
      <c r="DLJ218" s="28"/>
      <c r="DLK218" s="28"/>
      <c r="DLL218" s="28"/>
      <c r="DLM218" s="28"/>
      <c r="DLN218" s="28"/>
      <c r="DLO218" s="28"/>
      <c r="DLP218" s="28"/>
      <c r="DLQ218" s="28"/>
      <c r="DLR218" s="28"/>
      <c r="DLS218" s="28"/>
      <c r="DLT218" s="28"/>
      <c r="DLU218" s="28"/>
      <c r="DLV218" s="28"/>
      <c r="DLW218" s="28"/>
      <c r="DLX218" s="28"/>
      <c r="DLY218" s="28"/>
      <c r="DLZ218" s="28"/>
      <c r="DMA218" s="28"/>
      <c r="DMB218" s="28"/>
      <c r="DMC218" s="28"/>
      <c r="DMD218" s="28"/>
      <c r="DME218" s="28"/>
      <c r="DMF218" s="28"/>
      <c r="DMG218" s="28"/>
      <c r="DMH218" s="28"/>
      <c r="DMI218" s="28"/>
      <c r="DMJ218" s="28"/>
      <c r="DMK218" s="28"/>
      <c r="DML218" s="28"/>
      <c r="DMM218" s="28"/>
      <c r="DMN218" s="28"/>
      <c r="DMO218" s="28"/>
      <c r="DMP218" s="28"/>
      <c r="DMQ218" s="28"/>
      <c r="DMR218" s="28"/>
      <c r="DMS218" s="28"/>
      <c r="DMT218" s="28"/>
      <c r="DMU218" s="28"/>
      <c r="DMV218" s="28"/>
      <c r="DMW218" s="28"/>
      <c r="DMX218" s="28"/>
      <c r="DMY218" s="28"/>
      <c r="DMZ218" s="28"/>
      <c r="DNA218" s="28"/>
      <c r="DNB218" s="28"/>
      <c r="DNC218" s="28"/>
      <c r="DND218" s="28"/>
      <c r="DNE218" s="28"/>
      <c r="DNF218" s="28"/>
      <c r="DNG218" s="28"/>
      <c r="DNH218" s="28"/>
      <c r="DNI218" s="28"/>
      <c r="DNJ218" s="28"/>
      <c r="DNK218" s="28"/>
      <c r="DNL218" s="28"/>
      <c r="DNM218" s="28"/>
      <c r="DNN218" s="28"/>
      <c r="DNO218" s="28"/>
      <c r="DNP218" s="28"/>
      <c r="DNQ218" s="28"/>
      <c r="DNR218" s="28"/>
      <c r="DNS218" s="28"/>
      <c r="DNT218" s="28"/>
      <c r="DNU218" s="28"/>
      <c r="DNV218" s="28"/>
      <c r="DNW218" s="28"/>
      <c r="DNX218" s="28"/>
      <c r="DNY218" s="28"/>
      <c r="DNZ218" s="28"/>
      <c r="DOA218" s="28"/>
      <c r="DOB218" s="28"/>
      <c r="DOC218" s="28"/>
      <c r="DOD218" s="28"/>
      <c r="DOE218" s="28"/>
      <c r="DOF218" s="28"/>
      <c r="DOG218" s="28"/>
      <c r="DOH218" s="28"/>
      <c r="DOI218" s="28"/>
      <c r="DOJ218" s="28"/>
      <c r="DOK218" s="28"/>
      <c r="DOL218" s="28"/>
      <c r="DOM218" s="28"/>
      <c r="DON218" s="28"/>
      <c r="DOO218" s="28"/>
      <c r="DOP218" s="28"/>
      <c r="DOQ218" s="28"/>
      <c r="DOR218" s="28"/>
      <c r="DOS218" s="28"/>
      <c r="DOT218" s="28"/>
      <c r="DOU218" s="28"/>
      <c r="DOV218" s="28"/>
      <c r="DOW218" s="28"/>
      <c r="DOX218" s="28"/>
      <c r="DOY218" s="28"/>
      <c r="DOZ218" s="28"/>
      <c r="DPA218" s="28"/>
      <c r="DPB218" s="28"/>
      <c r="DPC218" s="28"/>
      <c r="DPD218" s="28"/>
      <c r="DPE218" s="28"/>
      <c r="DPF218" s="28"/>
      <c r="DPG218" s="28"/>
      <c r="DPH218" s="28"/>
      <c r="DPI218" s="28"/>
      <c r="DPJ218" s="28"/>
      <c r="DPK218" s="28"/>
      <c r="DPL218" s="28"/>
      <c r="DPM218" s="28"/>
      <c r="DPN218" s="28"/>
      <c r="DPO218" s="28"/>
      <c r="DPP218" s="28"/>
      <c r="DPQ218" s="28"/>
      <c r="DPR218" s="28"/>
      <c r="DPS218" s="28"/>
      <c r="DPT218" s="28"/>
      <c r="DPU218" s="28"/>
      <c r="DPV218" s="28"/>
      <c r="DPW218" s="28"/>
      <c r="DPX218" s="28"/>
      <c r="DPY218" s="28"/>
      <c r="DPZ218" s="28"/>
      <c r="DQA218" s="28"/>
      <c r="DQB218" s="28"/>
      <c r="DQC218" s="28"/>
      <c r="DQD218" s="28"/>
      <c r="DQE218" s="28"/>
      <c r="DQF218" s="28"/>
      <c r="DQG218" s="28"/>
      <c r="DQH218" s="28"/>
      <c r="DQI218" s="28"/>
      <c r="DQJ218" s="28"/>
      <c r="DQK218" s="28"/>
      <c r="DQL218" s="28"/>
      <c r="DQM218" s="28"/>
      <c r="DQN218" s="28"/>
      <c r="DQO218" s="28"/>
      <c r="DQP218" s="28"/>
      <c r="DQQ218" s="28"/>
      <c r="DQR218" s="28"/>
      <c r="DQS218" s="28"/>
      <c r="DQT218" s="28"/>
      <c r="DQU218" s="28"/>
      <c r="DQV218" s="28"/>
      <c r="DQW218" s="28"/>
      <c r="DQX218" s="28"/>
      <c r="DQY218" s="28"/>
      <c r="DQZ218" s="28"/>
      <c r="DRA218" s="28"/>
      <c r="DRB218" s="28"/>
      <c r="DRC218" s="28"/>
      <c r="DRD218" s="28"/>
      <c r="DRE218" s="28"/>
      <c r="DRF218" s="28"/>
      <c r="DRG218" s="28"/>
      <c r="DRH218" s="28"/>
      <c r="DRI218" s="28"/>
      <c r="DRJ218" s="28"/>
      <c r="DRK218" s="28"/>
      <c r="DRL218" s="28"/>
      <c r="DRM218" s="28"/>
      <c r="DRN218" s="28"/>
      <c r="DRO218" s="28"/>
      <c r="DRP218" s="28"/>
      <c r="DRQ218" s="28"/>
      <c r="DRR218" s="28"/>
      <c r="DRS218" s="28"/>
      <c r="DRT218" s="28"/>
      <c r="DRU218" s="28"/>
      <c r="DRV218" s="28"/>
      <c r="DRW218" s="28"/>
      <c r="DRX218" s="28"/>
      <c r="DRY218" s="28"/>
      <c r="DRZ218" s="28"/>
      <c r="DSA218" s="28"/>
      <c r="DSB218" s="28"/>
      <c r="DSC218" s="28"/>
      <c r="DSD218" s="28"/>
      <c r="DSE218" s="28"/>
      <c r="DSF218" s="28"/>
      <c r="DSG218" s="28"/>
      <c r="DSH218" s="28"/>
      <c r="DSI218" s="28"/>
      <c r="DSJ218" s="28"/>
      <c r="DSK218" s="28"/>
      <c r="DSL218" s="28"/>
      <c r="DSM218" s="28"/>
      <c r="DSN218" s="28"/>
      <c r="DSO218" s="28"/>
      <c r="DSP218" s="28"/>
      <c r="DSQ218" s="28"/>
      <c r="DSR218" s="28"/>
      <c r="DSS218" s="28"/>
      <c r="DST218" s="28"/>
      <c r="DSU218" s="28"/>
      <c r="DSV218" s="28"/>
      <c r="DSW218" s="28"/>
      <c r="DSX218" s="28"/>
      <c r="DSY218" s="28"/>
      <c r="DSZ218" s="28"/>
      <c r="DTA218" s="28"/>
      <c r="DTB218" s="28"/>
      <c r="DTC218" s="28"/>
      <c r="DTD218" s="28"/>
      <c r="DTE218" s="28"/>
      <c r="DTF218" s="28"/>
      <c r="DTG218" s="28"/>
      <c r="DTH218" s="28"/>
      <c r="DTI218" s="28"/>
      <c r="DTJ218" s="28"/>
      <c r="DTK218" s="28"/>
      <c r="DTL218" s="28"/>
      <c r="DTM218" s="28"/>
      <c r="DTN218" s="28"/>
      <c r="DTO218" s="28"/>
      <c r="DTP218" s="28"/>
      <c r="DTQ218" s="28"/>
      <c r="DTR218" s="28"/>
      <c r="DTS218" s="28"/>
      <c r="DTT218" s="28"/>
      <c r="DTU218" s="28"/>
      <c r="DTV218" s="28"/>
      <c r="DTW218" s="28"/>
      <c r="DTX218" s="28"/>
      <c r="DTY218" s="28"/>
      <c r="DTZ218" s="28"/>
      <c r="DUA218" s="28"/>
      <c r="DUB218" s="28"/>
      <c r="DUC218" s="28"/>
      <c r="DUD218" s="28"/>
      <c r="DUE218" s="28"/>
      <c r="DUF218" s="28"/>
      <c r="DUG218" s="28"/>
      <c r="DUH218" s="28"/>
      <c r="DUI218" s="28"/>
      <c r="DUJ218" s="28"/>
      <c r="DUK218" s="28"/>
      <c r="DUL218" s="28"/>
      <c r="DUM218" s="28"/>
      <c r="DUN218" s="28"/>
      <c r="DUO218" s="28"/>
      <c r="DUP218" s="28"/>
      <c r="DUQ218" s="28"/>
      <c r="DUR218" s="28"/>
      <c r="DUS218" s="28"/>
      <c r="DUT218" s="28"/>
      <c r="DUU218" s="28"/>
      <c r="DUV218" s="28"/>
      <c r="DUW218" s="28"/>
      <c r="DUX218" s="28"/>
      <c r="DUY218" s="28"/>
      <c r="DUZ218" s="28"/>
      <c r="DVA218" s="28"/>
      <c r="DVB218" s="28"/>
      <c r="DVC218" s="28"/>
      <c r="DVD218" s="28"/>
      <c r="DVE218" s="28"/>
      <c r="DVF218" s="28"/>
      <c r="DVG218" s="28"/>
      <c r="DVH218" s="28"/>
      <c r="DVI218" s="28"/>
      <c r="DVJ218" s="28"/>
      <c r="DVK218" s="28"/>
      <c r="DVL218" s="28"/>
      <c r="DVM218" s="28"/>
      <c r="DVN218" s="28"/>
      <c r="DVO218" s="28"/>
      <c r="DVP218" s="28"/>
      <c r="DVQ218" s="28"/>
      <c r="DVR218" s="28"/>
      <c r="DVS218" s="28"/>
      <c r="DVT218" s="28"/>
      <c r="DVU218" s="28"/>
      <c r="DVV218" s="28"/>
      <c r="DVW218" s="28"/>
      <c r="DVX218" s="28"/>
      <c r="DVY218" s="28"/>
      <c r="DVZ218" s="28"/>
      <c r="DWA218" s="28"/>
      <c r="DWB218" s="28"/>
      <c r="DWC218" s="28"/>
      <c r="DWD218" s="28"/>
      <c r="DWE218" s="28"/>
      <c r="DWF218" s="28"/>
      <c r="DWG218" s="28"/>
      <c r="DWH218" s="28"/>
      <c r="DWI218" s="28"/>
      <c r="DWJ218" s="28"/>
      <c r="DWK218" s="28"/>
      <c r="DWL218" s="28"/>
      <c r="DWM218" s="28"/>
      <c r="DWN218" s="28"/>
      <c r="DWO218" s="28"/>
      <c r="DWP218" s="28"/>
      <c r="DWQ218" s="28"/>
      <c r="DWR218" s="28"/>
      <c r="DWS218" s="28"/>
      <c r="DWT218" s="28"/>
      <c r="DWU218" s="28"/>
      <c r="DWV218" s="28"/>
      <c r="DWW218" s="28"/>
      <c r="DWX218" s="28"/>
      <c r="DWY218" s="28"/>
      <c r="DWZ218" s="28"/>
      <c r="DXA218" s="28"/>
      <c r="DXB218" s="28"/>
      <c r="DXC218" s="28"/>
      <c r="DXD218" s="28"/>
      <c r="DXE218" s="28"/>
      <c r="DXF218" s="28"/>
      <c r="DXG218" s="28"/>
      <c r="DXH218" s="28"/>
      <c r="DXI218" s="28"/>
      <c r="DXJ218" s="28"/>
      <c r="DXK218" s="28"/>
      <c r="DXL218" s="28"/>
      <c r="DXM218" s="28"/>
      <c r="DXN218" s="28"/>
      <c r="DXO218" s="28"/>
      <c r="DXP218" s="28"/>
      <c r="DXQ218" s="28"/>
      <c r="DXR218" s="28"/>
      <c r="DXS218" s="28"/>
      <c r="DXT218" s="28"/>
      <c r="DXU218" s="28"/>
      <c r="DXV218" s="28"/>
      <c r="DXW218" s="28"/>
      <c r="DXX218" s="28"/>
      <c r="DXY218" s="28"/>
      <c r="DXZ218" s="28"/>
      <c r="DYA218" s="28"/>
      <c r="DYB218" s="28"/>
      <c r="DYC218" s="28"/>
      <c r="DYD218" s="28"/>
      <c r="DYE218" s="28"/>
      <c r="DYF218" s="28"/>
      <c r="DYG218" s="28"/>
      <c r="DYH218" s="28"/>
      <c r="DYI218" s="28"/>
      <c r="DYJ218" s="28"/>
      <c r="DYK218" s="28"/>
      <c r="DYL218" s="28"/>
      <c r="DYM218" s="28"/>
      <c r="DYN218" s="28"/>
      <c r="DYO218" s="28"/>
      <c r="DYP218" s="28"/>
      <c r="DYQ218" s="28"/>
      <c r="DYR218" s="28"/>
      <c r="DYS218" s="28"/>
      <c r="DYT218" s="28"/>
      <c r="DYU218" s="28"/>
      <c r="DYV218" s="28"/>
      <c r="DYW218" s="28"/>
      <c r="DYX218" s="28"/>
      <c r="DYY218" s="28"/>
      <c r="DYZ218" s="28"/>
      <c r="DZA218" s="28"/>
      <c r="DZB218" s="28"/>
      <c r="DZC218" s="28"/>
      <c r="DZD218" s="28"/>
      <c r="DZE218" s="28"/>
      <c r="DZF218" s="28"/>
      <c r="DZG218" s="28"/>
      <c r="DZH218" s="28"/>
      <c r="DZI218" s="28"/>
      <c r="DZJ218" s="28"/>
      <c r="DZK218" s="28"/>
      <c r="DZL218" s="28"/>
      <c r="DZM218" s="28"/>
      <c r="DZN218" s="28"/>
      <c r="DZO218" s="28"/>
      <c r="DZP218" s="28"/>
      <c r="DZQ218" s="28"/>
      <c r="DZR218" s="28"/>
      <c r="DZS218" s="28"/>
      <c r="DZT218" s="28"/>
      <c r="DZU218" s="28"/>
      <c r="DZV218" s="28"/>
      <c r="DZW218" s="28"/>
      <c r="DZX218" s="28"/>
      <c r="DZY218" s="28"/>
      <c r="DZZ218" s="28"/>
      <c r="EAA218" s="28"/>
      <c r="EAB218" s="28"/>
      <c r="EAC218" s="28"/>
      <c r="EAD218" s="28"/>
      <c r="EAE218" s="28"/>
      <c r="EAF218" s="28"/>
      <c r="EAG218" s="28"/>
      <c r="EAH218" s="28"/>
      <c r="EAI218" s="28"/>
      <c r="EAJ218" s="28"/>
      <c r="EAK218" s="28"/>
      <c r="EAL218" s="28"/>
      <c r="EAM218" s="28"/>
      <c r="EAN218" s="28"/>
      <c r="EAO218" s="28"/>
      <c r="EAP218" s="28"/>
      <c r="EAQ218" s="28"/>
      <c r="EAR218" s="28"/>
      <c r="EAS218" s="28"/>
      <c r="EAT218" s="28"/>
      <c r="EAU218" s="28"/>
      <c r="EAV218" s="28"/>
      <c r="EAW218" s="28"/>
      <c r="EAX218" s="28"/>
      <c r="EAY218" s="28"/>
      <c r="EAZ218" s="28"/>
      <c r="EBA218" s="28"/>
      <c r="EBB218" s="28"/>
      <c r="EBC218" s="28"/>
      <c r="EBD218" s="28"/>
      <c r="EBE218" s="28"/>
      <c r="EBF218" s="28"/>
      <c r="EBG218" s="28"/>
      <c r="EBH218" s="28"/>
      <c r="EBI218" s="28"/>
      <c r="EBJ218" s="28"/>
      <c r="EBK218" s="28"/>
      <c r="EBL218" s="28"/>
      <c r="EBM218" s="28"/>
      <c r="EBN218" s="28"/>
      <c r="EBO218" s="28"/>
      <c r="EBP218" s="28"/>
      <c r="EBQ218" s="28"/>
      <c r="EBR218" s="28"/>
      <c r="EBS218" s="28"/>
      <c r="EBT218" s="28"/>
      <c r="EBU218" s="28"/>
      <c r="EBV218" s="28"/>
      <c r="EBW218" s="28"/>
      <c r="EBX218" s="28"/>
      <c r="EBY218" s="28"/>
      <c r="EBZ218" s="28"/>
      <c r="ECA218" s="28"/>
      <c r="ECB218" s="28"/>
      <c r="ECC218" s="28"/>
      <c r="ECD218" s="28"/>
      <c r="ECE218" s="28"/>
      <c r="ECF218" s="28"/>
      <c r="ECG218" s="28"/>
      <c r="ECH218" s="28"/>
      <c r="ECI218" s="28"/>
      <c r="ECJ218" s="28"/>
      <c r="ECK218" s="28"/>
      <c r="ECL218" s="28"/>
      <c r="ECM218" s="28"/>
      <c r="ECN218" s="28"/>
      <c r="ECO218" s="28"/>
      <c r="ECP218" s="28"/>
      <c r="ECQ218" s="28"/>
      <c r="ECR218" s="28"/>
      <c r="ECS218" s="28"/>
      <c r="ECT218" s="28"/>
      <c r="ECU218" s="28"/>
      <c r="ECV218" s="28"/>
      <c r="ECW218" s="28"/>
      <c r="ECX218" s="28"/>
      <c r="ECY218" s="28"/>
      <c r="ECZ218" s="28"/>
      <c r="EDA218" s="28"/>
      <c r="EDB218" s="28"/>
      <c r="EDC218" s="28"/>
      <c r="EDD218" s="28"/>
      <c r="EDE218" s="28"/>
      <c r="EDF218" s="28"/>
      <c r="EDG218" s="28"/>
      <c r="EDH218" s="28"/>
      <c r="EDI218" s="28"/>
      <c r="EDJ218" s="28"/>
      <c r="EDK218" s="28"/>
      <c r="EDL218" s="28"/>
      <c r="EDM218" s="28"/>
      <c r="EDN218" s="28"/>
      <c r="EDO218" s="28"/>
      <c r="EDP218" s="28"/>
      <c r="EDQ218" s="28"/>
      <c r="EDR218" s="28"/>
      <c r="EDS218" s="28"/>
      <c r="EDT218" s="28"/>
      <c r="EDU218" s="28"/>
      <c r="EDV218" s="28"/>
      <c r="EDW218" s="28"/>
      <c r="EDX218" s="28"/>
      <c r="EDY218" s="28"/>
      <c r="EDZ218" s="28"/>
      <c r="EEA218" s="28"/>
      <c r="EEB218" s="28"/>
      <c r="EEC218" s="28"/>
      <c r="EED218" s="28"/>
      <c r="EEE218" s="28"/>
      <c r="EEF218" s="28"/>
      <c r="EEG218" s="28"/>
      <c r="EEH218" s="28"/>
      <c r="EEI218" s="28"/>
      <c r="EEJ218" s="28"/>
      <c r="EEK218" s="28"/>
      <c r="EEL218" s="28"/>
      <c r="EEM218" s="28"/>
      <c r="EEN218" s="28"/>
      <c r="EEO218" s="28"/>
      <c r="EEP218" s="28"/>
      <c r="EEQ218" s="28"/>
      <c r="EER218" s="28"/>
      <c r="EES218" s="28"/>
      <c r="EET218" s="28"/>
      <c r="EEU218" s="28"/>
      <c r="EEV218" s="28"/>
      <c r="EEW218" s="28"/>
      <c r="EEX218" s="28"/>
      <c r="EEY218" s="28"/>
      <c r="EEZ218" s="28"/>
      <c r="EFA218" s="28"/>
      <c r="EFB218" s="28"/>
      <c r="EFC218" s="28"/>
      <c r="EFD218" s="28"/>
      <c r="EFE218" s="28"/>
      <c r="EFF218" s="28"/>
      <c r="EFG218" s="28"/>
      <c r="EFH218" s="28"/>
      <c r="EFI218" s="28"/>
      <c r="EFJ218" s="28"/>
      <c r="EFK218" s="28"/>
      <c r="EFL218" s="28"/>
      <c r="EFM218" s="28"/>
      <c r="EFN218" s="28"/>
      <c r="EFO218" s="28"/>
      <c r="EFP218" s="28"/>
      <c r="EFQ218" s="28"/>
      <c r="EFR218" s="28"/>
      <c r="EFS218" s="28"/>
      <c r="EFT218" s="28"/>
      <c r="EFU218" s="28"/>
      <c r="EFV218" s="28"/>
      <c r="EFW218" s="28"/>
      <c r="EFX218" s="28"/>
      <c r="EFY218" s="28"/>
      <c r="EFZ218" s="28"/>
      <c r="EGA218" s="28"/>
      <c r="EGB218" s="28"/>
      <c r="EGC218" s="28"/>
      <c r="EGD218" s="28"/>
      <c r="EGE218" s="28"/>
      <c r="EGF218" s="28"/>
      <c r="EGG218" s="28"/>
      <c r="EGH218" s="28"/>
      <c r="EGI218" s="28"/>
      <c r="EGJ218" s="28"/>
      <c r="EGK218" s="28"/>
      <c r="EGL218" s="28"/>
      <c r="EGM218" s="28"/>
      <c r="EGN218" s="28"/>
      <c r="EGO218" s="28"/>
      <c r="EGP218" s="28"/>
      <c r="EGQ218" s="28"/>
      <c r="EGR218" s="28"/>
      <c r="EGS218" s="28"/>
      <c r="EGT218" s="28"/>
      <c r="EGU218" s="28"/>
      <c r="EGV218" s="28"/>
      <c r="EGW218" s="28"/>
      <c r="EGX218" s="28"/>
      <c r="EGY218" s="28"/>
      <c r="EGZ218" s="28"/>
      <c r="EHA218" s="28"/>
      <c r="EHB218" s="28"/>
      <c r="EHC218" s="28"/>
      <c r="EHD218" s="28"/>
      <c r="EHE218" s="28"/>
      <c r="EHF218" s="28"/>
      <c r="EHG218" s="28"/>
      <c r="EHH218" s="28"/>
      <c r="EHI218" s="28"/>
      <c r="EHJ218" s="28"/>
      <c r="EHK218" s="28"/>
      <c r="EHL218" s="28"/>
      <c r="EHM218" s="28"/>
      <c r="EHN218" s="28"/>
      <c r="EHO218" s="28"/>
      <c r="EHP218" s="28"/>
      <c r="EHQ218" s="28"/>
      <c r="EHR218" s="28"/>
      <c r="EHS218" s="28"/>
      <c r="EHT218" s="28"/>
      <c r="EHU218" s="28"/>
      <c r="EHV218" s="28"/>
      <c r="EHW218" s="28"/>
      <c r="EHX218" s="28"/>
      <c r="EHY218" s="28"/>
      <c r="EHZ218" s="28"/>
      <c r="EIA218" s="28"/>
      <c r="EIB218" s="28"/>
      <c r="EIC218" s="28"/>
      <c r="EID218" s="28"/>
      <c r="EIE218" s="28"/>
      <c r="EIF218" s="28"/>
      <c r="EIG218" s="28"/>
      <c r="EIH218" s="28"/>
      <c r="EII218" s="28"/>
      <c r="EIJ218" s="28"/>
      <c r="EIK218" s="28"/>
      <c r="EIL218" s="28"/>
      <c r="EIM218" s="28"/>
      <c r="EIN218" s="28"/>
      <c r="EIO218" s="28"/>
      <c r="EIP218" s="28"/>
      <c r="EIQ218" s="28"/>
      <c r="EIR218" s="28"/>
      <c r="EIS218" s="28"/>
      <c r="EIT218" s="28"/>
      <c r="EIU218" s="28"/>
      <c r="EIV218" s="28"/>
      <c r="EIW218" s="28"/>
      <c r="EIX218" s="28"/>
      <c r="EIY218" s="28"/>
      <c r="EIZ218" s="28"/>
      <c r="EJA218" s="28"/>
      <c r="EJB218" s="28"/>
      <c r="EJC218" s="28"/>
      <c r="EJD218" s="28"/>
      <c r="EJE218" s="28"/>
      <c r="EJF218" s="28"/>
      <c r="EJG218" s="28"/>
      <c r="EJH218" s="28"/>
      <c r="EJI218" s="28"/>
      <c r="EJJ218" s="28"/>
      <c r="EJK218" s="28"/>
      <c r="EJL218" s="28"/>
      <c r="EJM218" s="28"/>
      <c r="EJN218" s="28"/>
      <c r="EJO218" s="28"/>
      <c r="EJP218" s="28"/>
      <c r="EJQ218" s="28"/>
      <c r="EJR218" s="28"/>
      <c r="EJS218" s="28"/>
      <c r="EJT218" s="28"/>
      <c r="EJU218" s="28"/>
      <c r="EJV218" s="28"/>
      <c r="EJW218" s="28"/>
      <c r="EJX218" s="28"/>
      <c r="EJY218" s="28"/>
      <c r="EJZ218" s="28"/>
      <c r="EKA218" s="28"/>
      <c r="EKB218" s="28"/>
      <c r="EKC218" s="28"/>
      <c r="EKD218" s="28"/>
      <c r="EKE218" s="28"/>
      <c r="EKF218" s="28"/>
      <c r="EKG218" s="28"/>
      <c r="EKH218" s="28"/>
      <c r="EKI218" s="28"/>
      <c r="EKJ218" s="28"/>
      <c r="EKK218" s="28"/>
      <c r="EKL218" s="28"/>
      <c r="EKM218" s="28"/>
      <c r="EKN218" s="28"/>
      <c r="EKO218" s="28"/>
      <c r="EKP218" s="28"/>
      <c r="EKQ218" s="28"/>
      <c r="EKR218" s="28"/>
      <c r="EKS218" s="28"/>
      <c r="EKT218" s="28"/>
      <c r="EKU218" s="28"/>
      <c r="EKV218" s="28"/>
      <c r="EKW218" s="28"/>
      <c r="EKX218" s="28"/>
      <c r="EKY218" s="28"/>
      <c r="EKZ218" s="28"/>
      <c r="ELA218" s="28"/>
      <c r="ELB218" s="28"/>
      <c r="ELC218" s="28"/>
      <c r="ELD218" s="28"/>
      <c r="ELE218" s="28"/>
      <c r="ELF218" s="28"/>
      <c r="ELG218" s="28"/>
      <c r="ELH218" s="28"/>
      <c r="ELI218" s="28"/>
      <c r="ELJ218" s="28"/>
      <c r="ELK218" s="28"/>
      <c r="ELL218" s="28"/>
      <c r="ELM218" s="28"/>
      <c r="ELN218" s="28"/>
      <c r="ELO218" s="28"/>
      <c r="ELP218" s="28"/>
      <c r="ELQ218" s="28"/>
      <c r="ELR218" s="28"/>
      <c r="ELS218" s="28"/>
      <c r="ELT218" s="28"/>
      <c r="ELU218" s="28"/>
      <c r="ELV218" s="28"/>
      <c r="ELW218" s="28"/>
      <c r="ELX218" s="28"/>
      <c r="ELY218" s="28"/>
      <c r="ELZ218" s="28"/>
      <c r="EMA218" s="28"/>
      <c r="EMB218" s="28"/>
      <c r="EMC218" s="28"/>
      <c r="EMD218" s="28"/>
      <c r="EME218" s="28"/>
      <c r="EMF218" s="28"/>
      <c r="EMG218" s="28"/>
      <c r="EMH218" s="28"/>
      <c r="EMI218" s="28"/>
      <c r="EMJ218" s="28"/>
      <c r="EMK218" s="28"/>
      <c r="EML218" s="28"/>
      <c r="EMM218" s="28"/>
      <c r="EMN218" s="28"/>
      <c r="EMO218" s="28"/>
      <c r="EMP218" s="28"/>
      <c r="EMQ218" s="28"/>
      <c r="EMR218" s="28"/>
      <c r="EMS218" s="28"/>
      <c r="EMT218" s="28"/>
      <c r="EMU218" s="28"/>
      <c r="EMV218" s="28"/>
      <c r="EMW218" s="28"/>
      <c r="EMX218" s="28"/>
      <c r="EMY218" s="28"/>
      <c r="EMZ218" s="28"/>
      <c r="ENA218" s="28"/>
      <c r="ENB218" s="28"/>
      <c r="ENC218" s="28"/>
      <c r="END218" s="28"/>
      <c r="ENE218" s="28"/>
      <c r="ENF218" s="28"/>
      <c r="ENG218" s="28"/>
      <c r="ENH218" s="28"/>
      <c r="ENI218" s="28"/>
      <c r="ENJ218" s="28"/>
      <c r="ENK218" s="28"/>
      <c r="ENL218" s="28"/>
      <c r="ENM218" s="28"/>
      <c r="ENN218" s="28"/>
      <c r="ENO218" s="28"/>
      <c r="ENP218" s="28"/>
      <c r="ENQ218" s="28"/>
      <c r="ENR218" s="28"/>
      <c r="ENS218" s="28"/>
      <c r="ENT218" s="28"/>
      <c r="ENU218" s="28"/>
      <c r="ENV218" s="28"/>
      <c r="ENW218" s="28"/>
      <c r="ENX218" s="28"/>
      <c r="ENY218" s="28"/>
      <c r="ENZ218" s="28"/>
      <c r="EOA218" s="28"/>
      <c r="EOB218" s="28"/>
      <c r="EOC218" s="28"/>
      <c r="EOD218" s="28"/>
      <c r="EOE218" s="28"/>
      <c r="EOF218" s="28"/>
      <c r="EOG218" s="28"/>
      <c r="EOH218" s="28"/>
      <c r="EOI218" s="28"/>
      <c r="EOJ218" s="28"/>
      <c r="EOK218" s="28"/>
      <c r="EOL218" s="28"/>
      <c r="EOM218" s="28"/>
      <c r="EON218" s="28"/>
      <c r="EOO218" s="28"/>
      <c r="EOP218" s="28"/>
      <c r="EOQ218" s="28"/>
      <c r="EOR218" s="28"/>
      <c r="EOS218" s="28"/>
      <c r="EOT218" s="28"/>
      <c r="EOU218" s="28"/>
      <c r="EOV218" s="28"/>
      <c r="EOW218" s="28"/>
      <c r="EOX218" s="28"/>
      <c r="EOY218" s="28"/>
      <c r="EOZ218" s="28"/>
      <c r="EPA218" s="28"/>
      <c r="EPB218" s="28"/>
      <c r="EPC218" s="28"/>
      <c r="EPD218" s="28"/>
      <c r="EPE218" s="28"/>
      <c r="EPF218" s="28"/>
      <c r="EPG218" s="28"/>
      <c r="EPH218" s="28"/>
      <c r="EPI218" s="28"/>
      <c r="EPJ218" s="28"/>
      <c r="EPK218" s="28"/>
      <c r="EPL218" s="28"/>
      <c r="EPM218" s="28"/>
      <c r="EPN218" s="28"/>
      <c r="EPO218" s="28"/>
      <c r="EPP218" s="28"/>
      <c r="EPQ218" s="28"/>
      <c r="EPR218" s="28"/>
      <c r="EPS218" s="28"/>
      <c r="EPT218" s="28"/>
      <c r="EPU218" s="28"/>
      <c r="EPV218" s="28"/>
      <c r="EPW218" s="28"/>
      <c r="EPX218" s="28"/>
      <c r="EPY218" s="28"/>
      <c r="EPZ218" s="28"/>
      <c r="EQA218" s="28"/>
      <c r="EQB218" s="28"/>
      <c r="EQC218" s="28"/>
      <c r="EQD218" s="28"/>
      <c r="EQE218" s="28"/>
      <c r="EQF218" s="28"/>
      <c r="EQG218" s="28"/>
      <c r="EQH218" s="28"/>
      <c r="EQI218" s="28"/>
      <c r="EQJ218" s="28"/>
      <c r="EQK218" s="28"/>
      <c r="EQL218" s="28"/>
      <c r="EQM218" s="28"/>
      <c r="EQN218" s="28"/>
      <c r="EQO218" s="28"/>
      <c r="EQP218" s="28"/>
      <c r="EQQ218" s="28"/>
      <c r="EQR218" s="28"/>
      <c r="EQS218" s="28"/>
      <c r="EQT218" s="28"/>
      <c r="EQU218" s="28"/>
      <c r="EQV218" s="28"/>
      <c r="EQW218" s="28"/>
      <c r="EQX218" s="28"/>
      <c r="EQY218" s="28"/>
      <c r="EQZ218" s="28"/>
      <c r="ERA218" s="28"/>
      <c r="ERB218" s="28"/>
      <c r="ERC218" s="28"/>
      <c r="ERD218" s="28"/>
      <c r="ERE218" s="28"/>
      <c r="ERF218" s="28"/>
      <c r="ERG218" s="28"/>
      <c r="ERH218" s="28"/>
      <c r="ERI218" s="28"/>
      <c r="ERJ218" s="28"/>
      <c r="ERK218" s="28"/>
      <c r="ERL218" s="28"/>
      <c r="ERM218" s="28"/>
      <c r="ERN218" s="28"/>
      <c r="ERO218" s="28"/>
      <c r="ERP218" s="28"/>
      <c r="ERQ218" s="28"/>
      <c r="ERR218" s="28"/>
      <c r="ERS218" s="28"/>
      <c r="ERT218" s="28"/>
      <c r="ERU218" s="28"/>
      <c r="ERV218" s="28"/>
      <c r="ERW218" s="28"/>
      <c r="ERX218" s="28"/>
      <c r="ERY218" s="28"/>
      <c r="ERZ218" s="28"/>
      <c r="ESA218" s="28"/>
      <c r="ESB218" s="28"/>
      <c r="ESC218" s="28"/>
      <c r="ESD218" s="28"/>
      <c r="ESE218" s="28"/>
      <c r="ESF218" s="28"/>
      <c r="ESG218" s="28"/>
      <c r="ESH218" s="28"/>
      <c r="ESI218" s="28"/>
      <c r="ESJ218" s="28"/>
      <c r="ESK218" s="28"/>
      <c r="ESL218" s="28"/>
      <c r="ESM218" s="28"/>
      <c r="ESN218" s="28"/>
      <c r="ESO218" s="28"/>
      <c r="ESP218" s="28"/>
      <c r="ESQ218" s="28"/>
      <c r="ESR218" s="28"/>
      <c r="ESS218" s="28"/>
      <c r="EST218" s="28"/>
      <c r="ESU218" s="28"/>
      <c r="ESV218" s="28"/>
      <c r="ESW218" s="28"/>
      <c r="ESX218" s="28"/>
      <c r="ESY218" s="28"/>
      <c r="ESZ218" s="28"/>
      <c r="ETA218" s="28"/>
      <c r="ETB218" s="28"/>
      <c r="ETC218" s="28"/>
      <c r="ETD218" s="28"/>
      <c r="ETE218" s="28"/>
      <c r="ETF218" s="28"/>
      <c r="ETG218" s="28"/>
      <c r="ETH218" s="28"/>
      <c r="ETI218" s="28"/>
      <c r="ETJ218" s="28"/>
      <c r="ETK218" s="28"/>
      <c r="ETL218" s="28"/>
      <c r="ETM218" s="28"/>
      <c r="ETN218" s="28"/>
      <c r="ETO218" s="28"/>
      <c r="ETP218" s="28"/>
      <c r="ETQ218" s="28"/>
      <c r="ETR218" s="28"/>
      <c r="ETS218" s="28"/>
      <c r="ETT218" s="28"/>
      <c r="ETU218" s="28"/>
      <c r="ETV218" s="28"/>
      <c r="ETW218" s="28"/>
      <c r="ETX218" s="28"/>
      <c r="ETY218" s="28"/>
      <c r="ETZ218" s="28"/>
      <c r="EUA218" s="28"/>
      <c r="EUB218" s="28"/>
      <c r="EUC218" s="28"/>
      <c r="EUD218" s="28"/>
      <c r="EUE218" s="28"/>
      <c r="EUF218" s="28"/>
      <c r="EUG218" s="28"/>
      <c r="EUH218" s="28"/>
      <c r="EUI218" s="28"/>
      <c r="EUJ218" s="28"/>
      <c r="EUK218" s="28"/>
      <c r="EUL218" s="28"/>
      <c r="EUM218" s="28"/>
      <c r="EUN218" s="28"/>
      <c r="EUO218" s="28"/>
      <c r="EUP218" s="28"/>
      <c r="EUQ218" s="28"/>
      <c r="EUR218" s="28"/>
      <c r="EUS218" s="28"/>
      <c r="EUT218" s="28"/>
      <c r="EUU218" s="28"/>
      <c r="EUV218" s="28"/>
      <c r="EUW218" s="28"/>
      <c r="EUX218" s="28"/>
      <c r="EUY218" s="28"/>
      <c r="EUZ218" s="28"/>
      <c r="EVA218" s="28"/>
      <c r="EVB218" s="28"/>
      <c r="EVC218" s="28"/>
      <c r="EVD218" s="28"/>
      <c r="EVE218" s="28"/>
      <c r="EVF218" s="28"/>
      <c r="EVG218" s="28"/>
      <c r="EVH218" s="28"/>
      <c r="EVI218" s="28"/>
      <c r="EVJ218" s="28"/>
      <c r="EVK218" s="28"/>
      <c r="EVL218" s="28"/>
      <c r="EVM218" s="28"/>
      <c r="EVN218" s="28"/>
      <c r="EVO218" s="28"/>
      <c r="EVP218" s="28"/>
      <c r="EVQ218" s="28"/>
      <c r="EVR218" s="28"/>
      <c r="EVS218" s="28"/>
      <c r="EVT218" s="28"/>
      <c r="EVU218" s="28"/>
      <c r="EVV218" s="28"/>
      <c r="EVW218" s="28"/>
      <c r="EVX218" s="28"/>
      <c r="EVY218" s="28"/>
      <c r="EVZ218" s="28"/>
      <c r="EWA218" s="28"/>
      <c r="EWB218" s="28"/>
      <c r="EWC218" s="28"/>
      <c r="EWD218" s="28"/>
      <c r="EWE218" s="28"/>
      <c r="EWF218" s="28"/>
      <c r="EWG218" s="28"/>
      <c r="EWH218" s="28"/>
      <c r="EWI218" s="28"/>
      <c r="EWJ218" s="28"/>
      <c r="EWK218" s="28"/>
      <c r="EWL218" s="28"/>
      <c r="EWM218" s="28"/>
      <c r="EWN218" s="28"/>
      <c r="EWO218" s="28"/>
      <c r="EWP218" s="28"/>
      <c r="EWQ218" s="28"/>
      <c r="EWR218" s="28"/>
      <c r="EWS218" s="28"/>
      <c r="EWT218" s="28"/>
      <c r="EWU218" s="28"/>
      <c r="EWV218" s="28"/>
      <c r="EWW218" s="28"/>
      <c r="EWX218" s="28"/>
      <c r="EWY218" s="28"/>
      <c r="EWZ218" s="28"/>
      <c r="EXA218" s="28"/>
      <c r="EXB218" s="28"/>
      <c r="EXC218" s="28"/>
      <c r="EXD218" s="28"/>
      <c r="EXE218" s="28"/>
      <c r="EXF218" s="28"/>
      <c r="EXG218" s="28"/>
      <c r="EXH218" s="28"/>
      <c r="EXI218" s="28"/>
      <c r="EXJ218" s="28"/>
      <c r="EXK218" s="28"/>
      <c r="EXL218" s="28"/>
      <c r="EXM218" s="28"/>
      <c r="EXN218" s="28"/>
      <c r="EXO218" s="28"/>
      <c r="EXP218" s="28"/>
      <c r="EXQ218" s="28"/>
      <c r="EXR218" s="28"/>
      <c r="EXS218" s="28"/>
      <c r="EXT218" s="28"/>
      <c r="EXU218" s="28"/>
      <c r="EXV218" s="28"/>
      <c r="EXW218" s="28"/>
      <c r="EXX218" s="28"/>
      <c r="EXY218" s="28"/>
      <c r="EXZ218" s="28"/>
      <c r="EYA218" s="28"/>
      <c r="EYB218" s="28"/>
      <c r="EYC218" s="28"/>
      <c r="EYD218" s="28"/>
      <c r="EYE218" s="28"/>
      <c r="EYF218" s="28"/>
      <c r="EYG218" s="28"/>
      <c r="EYH218" s="28"/>
      <c r="EYI218" s="28"/>
      <c r="EYJ218" s="28"/>
      <c r="EYK218" s="28"/>
      <c r="EYL218" s="28"/>
      <c r="EYM218" s="28"/>
      <c r="EYN218" s="28"/>
      <c r="EYO218" s="28"/>
      <c r="EYP218" s="28"/>
      <c r="EYQ218" s="28"/>
      <c r="EYR218" s="28"/>
      <c r="EYS218" s="28"/>
      <c r="EYT218" s="28"/>
      <c r="EYU218" s="28"/>
      <c r="EYV218" s="28"/>
      <c r="EYW218" s="28"/>
      <c r="EYX218" s="28"/>
      <c r="EYY218" s="28"/>
      <c r="EYZ218" s="28"/>
      <c r="EZA218" s="28"/>
      <c r="EZB218" s="28"/>
      <c r="EZC218" s="28"/>
      <c r="EZD218" s="28"/>
      <c r="EZE218" s="28"/>
      <c r="EZF218" s="28"/>
      <c r="EZG218" s="28"/>
      <c r="EZH218" s="28"/>
      <c r="EZI218" s="28"/>
      <c r="EZJ218" s="28"/>
      <c r="EZK218" s="28"/>
      <c r="EZL218" s="28"/>
      <c r="EZM218" s="28"/>
      <c r="EZN218" s="28"/>
      <c r="EZO218" s="28"/>
      <c r="EZP218" s="28"/>
      <c r="EZQ218" s="28"/>
      <c r="EZR218" s="28"/>
      <c r="EZS218" s="28"/>
      <c r="EZT218" s="28"/>
      <c r="EZU218" s="28"/>
      <c r="EZV218" s="28"/>
      <c r="EZW218" s="28"/>
      <c r="EZX218" s="28"/>
      <c r="EZY218" s="28"/>
      <c r="EZZ218" s="28"/>
      <c r="FAA218" s="28"/>
      <c r="FAB218" s="28"/>
      <c r="FAC218" s="28"/>
      <c r="FAD218" s="28"/>
      <c r="FAE218" s="28"/>
      <c r="FAF218" s="28"/>
      <c r="FAG218" s="28"/>
      <c r="FAH218" s="28"/>
      <c r="FAI218" s="28"/>
      <c r="FAJ218" s="28"/>
      <c r="FAK218" s="28"/>
      <c r="FAL218" s="28"/>
      <c r="FAM218" s="28"/>
      <c r="FAN218" s="28"/>
      <c r="FAO218" s="28"/>
      <c r="FAP218" s="28"/>
      <c r="FAQ218" s="28"/>
      <c r="FAR218" s="28"/>
      <c r="FAS218" s="28"/>
      <c r="FAT218" s="28"/>
      <c r="FAU218" s="28"/>
      <c r="FAV218" s="28"/>
      <c r="FAW218" s="28"/>
      <c r="FAX218" s="28"/>
      <c r="FAY218" s="28"/>
      <c r="FAZ218" s="28"/>
      <c r="FBA218" s="28"/>
      <c r="FBB218" s="28"/>
      <c r="FBC218" s="28"/>
      <c r="FBD218" s="28"/>
      <c r="FBE218" s="28"/>
      <c r="FBF218" s="28"/>
      <c r="FBG218" s="28"/>
      <c r="FBH218" s="28"/>
      <c r="FBI218" s="28"/>
      <c r="FBJ218" s="28"/>
      <c r="FBK218" s="28"/>
      <c r="FBL218" s="28"/>
      <c r="FBM218" s="28"/>
      <c r="FBN218" s="28"/>
      <c r="FBO218" s="28"/>
      <c r="FBP218" s="28"/>
      <c r="FBQ218" s="28"/>
      <c r="FBR218" s="28"/>
      <c r="FBS218" s="28"/>
      <c r="FBT218" s="28"/>
      <c r="FBU218" s="28"/>
      <c r="FBV218" s="28"/>
      <c r="FBW218" s="28"/>
      <c r="FBX218" s="28"/>
      <c r="FBY218" s="28"/>
      <c r="FBZ218" s="28"/>
      <c r="FCA218" s="28"/>
      <c r="FCB218" s="28"/>
      <c r="FCC218" s="28"/>
      <c r="FCD218" s="28"/>
      <c r="FCE218" s="28"/>
      <c r="FCF218" s="28"/>
      <c r="FCG218" s="28"/>
      <c r="FCH218" s="28"/>
      <c r="FCI218" s="28"/>
      <c r="FCJ218" s="28"/>
      <c r="FCK218" s="28"/>
      <c r="FCL218" s="28"/>
      <c r="FCM218" s="28"/>
      <c r="FCN218" s="28"/>
      <c r="FCO218" s="28"/>
      <c r="FCP218" s="28"/>
      <c r="FCQ218" s="28"/>
      <c r="FCR218" s="28"/>
      <c r="FCS218" s="28"/>
      <c r="FCT218" s="28"/>
      <c r="FCU218" s="28"/>
      <c r="FCV218" s="28"/>
      <c r="FCW218" s="28"/>
      <c r="FCX218" s="28"/>
      <c r="FCY218" s="28"/>
      <c r="FCZ218" s="28"/>
      <c r="FDA218" s="28"/>
      <c r="FDB218" s="28"/>
      <c r="FDC218" s="28"/>
      <c r="FDD218" s="28"/>
      <c r="FDE218" s="28"/>
      <c r="FDF218" s="28"/>
      <c r="FDG218" s="28"/>
      <c r="FDH218" s="28"/>
      <c r="FDI218" s="28"/>
      <c r="FDJ218" s="28"/>
      <c r="FDK218" s="28"/>
      <c r="FDL218" s="28"/>
      <c r="FDM218" s="28"/>
      <c r="FDN218" s="28"/>
      <c r="FDO218" s="28"/>
      <c r="FDP218" s="28"/>
      <c r="FDQ218" s="28"/>
      <c r="FDR218" s="28"/>
      <c r="FDS218" s="28"/>
      <c r="FDT218" s="28"/>
      <c r="FDU218" s="28"/>
      <c r="FDV218" s="28"/>
      <c r="FDW218" s="28"/>
      <c r="FDX218" s="28"/>
      <c r="FDY218" s="28"/>
      <c r="FDZ218" s="28"/>
      <c r="FEA218" s="28"/>
      <c r="FEB218" s="28"/>
      <c r="FEC218" s="28"/>
      <c r="FED218" s="28"/>
      <c r="FEE218" s="28"/>
      <c r="FEF218" s="28"/>
      <c r="FEG218" s="28"/>
      <c r="FEH218" s="28"/>
      <c r="FEI218" s="28"/>
      <c r="FEJ218" s="28"/>
      <c r="FEK218" s="28"/>
      <c r="FEL218" s="28"/>
      <c r="FEM218" s="28"/>
      <c r="FEN218" s="28"/>
      <c r="FEO218" s="28"/>
      <c r="FEP218" s="28"/>
      <c r="FEQ218" s="28"/>
      <c r="FER218" s="28"/>
      <c r="FES218" s="28"/>
      <c r="FET218" s="28"/>
      <c r="FEU218" s="28"/>
      <c r="FEV218" s="28"/>
      <c r="FEW218" s="28"/>
      <c r="FEX218" s="28"/>
      <c r="FEY218" s="28"/>
      <c r="FEZ218" s="28"/>
      <c r="FFA218" s="28"/>
      <c r="FFB218" s="28"/>
      <c r="FFC218" s="28"/>
      <c r="FFD218" s="28"/>
      <c r="FFE218" s="28"/>
      <c r="FFF218" s="28"/>
      <c r="FFG218" s="28"/>
      <c r="FFH218" s="28"/>
      <c r="FFI218" s="28"/>
      <c r="FFJ218" s="28"/>
      <c r="FFK218" s="28"/>
      <c r="FFL218" s="28"/>
      <c r="FFM218" s="28"/>
      <c r="FFN218" s="28"/>
      <c r="FFO218" s="28"/>
      <c r="FFP218" s="28"/>
      <c r="FFQ218" s="28"/>
      <c r="FFR218" s="28"/>
      <c r="FFS218" s="28"/>
      <c r="FFT218" s="28"/>
      <c r="FFU218" s="28"/>
      <c r="FFV218" s="28"/>
      <c r="FFW218" s="28"/>
      <c r="FFX218" s="28"/>
      <c r="FFY218" s="28"/>
      <c r="FFZ218" s="28"/>
      <c r="FGA218" s="28"/>
      <c r="FGB218" s="28"/>
      <c r="FGC218" s="28"/>
      <c r="FGD218" s="28"/>
      <c r="FGE218" s="28"/>
      <c r="FGF218" s="28"/>
      <c r="FGG218" s="28"/>
      <c r="FGH218" s="28"/>
      <c r="FGI218" s="28"/>
      <c r="FGJ218" s="28"/>
      <c r="FGK218" s="28"/>
      <c r="FGL218" s="28"/>
      <c r="FGM218" s="28"/>
      <c r="FGN218" s="28"/>
      <c r="FGO218" s="28"/>
      <c r="FGP218" s="28"/>
      <c r="FGQ218" s="28"/>
      <c r="FGR218" s="28"/>
      <c r="FGS218" s="28"/>
      <c r="FGT218" s="28"/>
      <c r="FGU218" s="28"/>
      <c r="FGV218" s="28"/>
      <c r="FGW218" s="28"/>
      <c r="FGX218" s="28"/>
      <c r="FGY218" s="28"/>
      <c r="FGZ218" s="28"/>
      <c r="FHA218" s="28"/>
      <c r="FHB218" s="28"/>
      <c r="FHC218" s="28"/>
      <c r="FHD218" s="28"/>
      <c r="FHE218" s="28"/>
      <c r="FHF218" s="28"/>
      <c r="FHG218" s="28"/>
      <c r="FHH218" s="28"/>
      <c r="FHI218" s="28"/>
      <c r="FHJ218" s="28"/>
      <c r="FHK218" s="28"/>
      <c r="FHL218" s="28"/>
      <c r="FHM218" s="28"/>
      <c r="FHN218" s="28"/>
      <c r="FHO218" s="28"/>
      <c r="FHP218" s="28"/>
      <c r="FHQ218" s="28"/>
      <c r="FHR218" s="28"/>
      <c r="FHS218" s="28"/>
      <c r="FHT218" s="28"/>
      <c r="FHU218" s="28"/>
      <c r="FHV218" s="28"/>
      <c r="FHW218" s="28"/>
      <c r="FHX218" s="28"/>
      <c r="FHY218" s="28"/>
      <c r="FHZ218" s="28"/>
      <c r="FIA218" s="28"/>
      <c r="FIB218" s="28"/>
      <c r="FIC218" s="28"/>
      <c r="FID218" s="28"/>
      <c r="FIE218" s="28"/>
      <c r="FIF218" s="28"/>
      <c r="FIG218" s="28"/>
      <c r="FIH218" s="28"/>
      <c r="FII218" s="28"/>
      <c r="FIJ218" s="28"/>
      <c r="FIK218" s="28"/>
      <c r="FIL218" s="28"/>
      <c r="FIM218" s="28"/>
      <c r="FIN218" s="28"/>
      <c r="FIO218" s="28"/>
      <c r="FIP218" s="28"/>
      <c r="FIQ218" s="28"/>
      <c r="FIR218" s="28"/>
      <c r="FIS218" s="28"/>
      <c r="FIT218" s="28"/>
      <c r="FIU218" s="28"/>
      <c r="FIV218" s="28"/>
      <c r="FIW218" s="28"/>
      <c r="FIX218" s="28"/>
      <c r="FIY218" s="28"/>
      <c r="FIZ218" s="28"/>
      <c r="FJA218" s="28"/>
      <c r="FJB218" s="28"/>
      <c r="FJC218" s="28"/>
      <c r="FJD218" s="28"/>
      <c r="FJE218" s="28"/>
      <c r="FJF218" s="28"/>
      <c r="FJG218" s="28"/>
      <c r="FJH218" s="28"/>
      <c r="FJI218" s="28"/>
      <c r="FJJ218" s="28"/>
      <c r="FJK218" s="28"/>
      <c r="FJL218" s="28"/>
      <c r="FJM218" s="28"/>
      <c r="FJN218" s="28"/>
      <c r="FJO218" s="28"/>
      <c r="FJP218" s="28"/>
      <c r="FJQ218" s="28"/>
      <c r="FJR218" s="28"/>
      <c r="FJS218" s="28"/>
      <c r="FJT218" s="28"/>
      <c r="FJU218" s="28"/>
      <c r="FJV218" s="28"/>
      <c r="FJW218" s="28"/>
      <c r="FJX218" s="28"/>
      <c r="FJY218" s="28"/>
      <c r="FJZ218" s="28"/>
      <c r="FKA218" s="28"/>
      <c r="FKB218" s="28"/>
      <c r="FKC218" s="28"/>
      <c r="FKD218" s="28"/>
      <c r="FKE218" s="28"/>
      <c r="FKF218" s="28"/>
      <c r="FKG218" s="28"/>
      <c r="FKH218" s="28"/>
      <c r="FKI218" s="28"/>
      <c r="FKJ218" s="28"/>
      <c r="FKK218" s="28"/>
      <c r="FKL218" s="28"/>
      <c r="FKM218" s="28"/>
      <c r="FKN218" s="28"/>
      <c r="FKO218" s="28"/>
      <c r="FKP218" s="28"/>
      <c r="FKQ218" s="28"/>
      <c r="FKR218" s="28"/>
      <c r="FKS218" s="28"/>
      <c r="FKT218" s="28"/>
      <c r="FKU218" s="28"/>
      <c r="FKV218" s="28"/>
      <c r="FKW218" s="28"/>
      <c r="FKX218" s="28"/>
      <c r="FKY218" s="28"/>
      <c r="FKZ218" s="28"/>
      <c r="FLA218" s="28"/>
      <c r="FLB218" s="28"/>
      <c r="FLC218" s="28"/>
      <c r="FLD218" s="28"/>
      <c r="FLE218" s="28"/>
      <c r="FLF218" s="28"/>
      <c r="FLG218" s="28"/>
      <c r="FLH218" s="28"/>
      <c r="FLI218" s="28"/>
      <c r="FLJ218" s="28"/>
      <c r="FLK218" s="28"/>
      <c r="FLL218" s="28"/>
      <c r="FLM218" s="28"/>
      <c r="FLN218" s="28"/>
      <c r="FLO218" s="28"/>
      <c r="FLP218" s="28"/>
      <c r="FLQ218" s="28"/>
      <c r="FLR218" s="28"/>
      <c r="FLS218" s="28"/>
      <c r="FLT218" s="28"/>
      <c r="FLU218" s="28"/>
      <c r="FLV218" s="28"/>
      <c r="FLW218" s="28"/>
      <c r="FLX218" s="28"/>
      <c r="FLY218" s="28"/>
      <c r="FLZ218" s="28"/>
      <c r="FMA218" s="28"/>
      <c r="FMB218" s="28"/>
      <c r="FMC218" s="28"/>
      <c r="FMD218" s="28"/>
      <c r="FME218" s="28"/>
      <c r="FMF218" s="28"/>
      <c r="FMG218" s="28"/>
      <c r="FMH218" s="28"/>
      <c r="FMI218" s="28"/>
      <c r="FMJ218" s="28"/>
      <c r="FMK218" s="28"/>
      <c r="FML218" s="28"/>
      <c r="FMM218" s="28"/>
      <c r="FMN218" s="28"/>
      <c r="FMO218" s="28"/>
      <c r="FMP218" s="28"/>
      <c r="FMQ218" s="28"/>
      <c r="FMR218" s="28"/>
      <c r="FMS218" s="28"/>
      <c r="FMT218" s="28"/>
      <c r="FMU218" s="28"/>
      <c r="FMV218" s="28"/>
      <c r="FMW218" s="28"/>
      <c r="FMX218" s="28"/>
      <c r="FMY218" s="28"/>
      <c r="FMZ218" s="28"/>
      <c r="FNA218" s="28"/>
      <c r="FNB218" s="28"/>
      <c r="FNC218" s="28"/>
      <c r="FND218" s="28"/>
      <c r="FNE218" s="28"/>
      <c r="FNF218" s="28"/>
      <c r="FNG218" s="28"/>
      <c r="FNH218" s="28"/>
      <c r="FNI218" s="28"/>
      <c r="FNJ218" s="28"/>
      <c r="FNK218" s="28"/>
      <c r="FNL218" s="28"/>
      <c r="FNM218" s="28"/>
      <c r="FNN218" s="28"/>
      <c r="FNO218" s="28"/>
      <c r="FNP218" s="28"/>
      <c r="FNQ218" s="28"/>
      <c r="FNR218" s="28"/>
      <c r="FNS218" s="28"/>
      <c r="FNT218" s="28"/>
      <c r="FNU218" s="28"/>
      <c r="FNV218" s="28"/>
      <c r="FNW218" s="28"/>
      <c r="FNX218" s="28"/>
      <c r="FNY218" s="28"/>
      <c r="FNZ218" s="28"/>
      <c r="FOA218" s="28"/>
      <c r="FOB218" s="28"/>
      <c r="FOC218" s="28"/>
      <c r="FOD218" s="28"/>
      <c r="FOE218" s="28"/>
      <c r="FOF218" s="28"/>
      <c r="FOG218" s="28"/>
      <c r="FOH218" s="28"/>
      <c r="FOI218" s="28"/>
      <c r="FOJ218" s="28"/>
      <c r="FOK218" s="28"/>
      <c r="FOL218" s="28"/>
      <c r="FOM218" s="28"/>
      <c r="FON218" s="28"/>
      <c r="FOO218" s="28"/>
      <c r="FOP218" s="28"/>
      <c r="FOQ218" s="28"/>
      <c r="FOR218" s="28"/>
      <c r="FOS218" s="28"/>
      <c r="FOT218" s="28"/>
      <c r="FOU218" s="28"/>
      <c r="FOV218" s="28"/>
      <c r="FOW218" s="28"/>
      <c r="FOX218" s="28"/>
      <c r="FOY218" s="28"/>
      <c r="FOZ218" s="28"/>
      <c r="FPA218" s="28"/>
      <c r="FPB218" s="28"/>
      <c r="FPC218" s="28"/>
      <c r="FPD218" s="28"/>
      <c r="FPE218" s="28"/>
      <c r="FPF218" s="28"/>
      <c r="FPG218" s="28"/>
      <c r="FPH218" s="28"/>
      <c r="FPI218" s="28"/>
      <c r="FPJ218" s="28"/>
      <c r="FPK218" s="28"/>
      <c r="FPL218" s="28"/>
      <c r="FPM218" s="28"/>
      <c r="FPN218" s="28"/>
      <c r="FPO218" s="28"/>
      <c r="FPP218" s="28"/>
      <c r="FPQ218" s="28"/>
      <c r="FPR218" s="28"/>
      <c r="FPS218" s="28"/>
      <c r="FPT218" s="28"/>
      <c r="FPU218" s="28"/>
      <c r="FPV218" s="28"/>
      <c r="FPW218" s="28"/>
      <c r="FPX218" s="28"/>
      <c r="FPY218" s="28"/>
      <c r="FPZ218" s="28"/>
      <c r="FQA218" s="28"/>
      <c r="FQB218" s="28"/>
      <c r="FQC218" s="28"/>
      <c r="FQD218" s="28"/>
      <c r="FQE218" s="28"/>
      <c r="FQF218" s="28"/>
      <c r="FQG218" s="28"/>
      <c r="FQH218" s="28"/>
      <c r="FQI218" s="28"/>
      <c r="FQJ218" s="28"/>
      <c r="FQK218" s="28"/>
      <c r="FQL218" s="28"/>
      <c r="FQM218" s="28"/>
      <c r="FQN218" s="28"/>
      <c r="FQO218" s="28"/>
      <c r="FQP218" s="28"/>
      <c r="FQQ218" s="28"/>
      <c r="FQR218" s="28"/>
      <c r="FQS218" s="28"/>
      <c r="FQT218" s="28"/>
      <c r="FQU218" s="28"/>
      <c r="FQV218" s="28"/>
      <c r="FQW218" s="28"/>
      <c r="FQX218" s="28"/>
      <c r="FQY218" s="28"/>
      <c r="FQZ218" s="28"/>
      <c r="FRA218" s="28"/>
      <c r="FRB218" s="28"/>
      <c r="FRC218" s="28"/>
      <c r="FRD218" s="28"/>
      <c r="FRE218" s="28"/>
      <c r="FRF218" s="28"/>
      <c r="FRG218" s="28"/>
      <c r="FRH218" s="28"/>
      <c r="FRI218" s="28"/>
      <c r="FRJ218" s="28"/>
      <c r="FRK218" s="28"/>
      <c r="FRL218" s="28"/>
      <c r="FRM218" s="28"/>
      <c r="FRN218" s="28"/>
      <c r="FRO218" s="28"/>
      <c r="FRP218" s="28"/>
      <c r="FRQ218" s="28"/>
      <c r="FRR218" s="28"/>
      <c r="FRS218" s="28"/>
      <c r="FRT218" s="28"/>
      <c r="FRU218" s="28"/>
      <c r="FRV218" s="28"/>
      <c r="FRW218" s="28"/>
      <c r="FRX218" s="28"/>
      <c r="FRY218" s="28"/>
      <c r="FRZ218" s="28"/>
      <c r="FSA218" s="28"/>
      <c r="FSB218" s="28"/>
      <c r="FSC218" s="28"/>
      <c r="FSD218" s="28"/>
      <c r="FSE218" s="28"/>
      <c r="FSF218" s="28"/>
      <c r="FSG218" s="28"/>
      <c r="FSH218" s="28"/>
      <c r="FSI218" s="28"/>
      <c r="FSJ218" s="28"/>
      <c r="FSK218" s="28"/>
      <c r="FSL218" s="28"/>
      <c r="FSM218" s="28"/>
      <c r="FSN218" s="28"/>
      <c r="FSO218" s="28"/>
      <c r="FSP218" s="28"/>
      <c r="FSQ218" s="28"/>
      <c r="FSR218" s="28"/>
      <c r="FSS218" s="28"/>
      <c r="FST218" s="28"/>
      <c r="FSU218" s="28"/>
      <c r="FSV218" s="28"/>
      <c r="FSW218" s="28"/>
      <c r="FSX218" s="28"/>
      <c r="FSY218" s="28"/>
      <c r="FSZ218" s="28"/>
      <c r="FTA218" s="28"/>
      <c r="FTB218" s="28"/>
      <c r="FTC218" s="28"/>
      <c r="FTD218" s="28"/>
      <c r="FTE218" s="28"/>
      <c r="FTF218" s="28"/>
      <c r="FTG218" s="28"/>
      <c r="FTH218" s="28"/>
      <c r="FTI218" s="28"/>
      <c r="FTJ218" s="28"/>
      <c r="FTK218" s="28"/>
      <c r="FTL218" s="28"/>
      <c r="FTM218" s="28"/>
      <c r="FTN218" s="28"/>
      <c r="FTO218" s="28"/>
      <c r="FTP218" s="28"/>
      <c r="FTQ218" s="28"/>
      <c r="FTR218" s="28"/>
      <c r="FTS218" s="28"/>
      <c r="FTT218" s="28"/>
      <c r="FTU218" s="28"/>
      <c r="FTV218" s="28"/>
      <c r="FTW218" s="28"/>
      <c r="FTX218" s="28"/>
      <c r="FTY218" s="28"/>
      <c r="FTZ218" s="28"/>
      <c r="FUA218" s="28"/>
      <c r="FUB218" s="28"/>
      <c r="FUC218" s="28"/>
      <c r="FUD218" s="28"/>
      <c r="FUE218" s="28"/>
      <c r="FUF218" s="28"/>
      <c r="FUG218" s="28"/>
      <c r="FUH218" s="28"/>
      <c r="FUI218" s="28"/>
      <c r="FUJ218" s="28"/>
      <c r="FUK218" s="28"/>
      <c r="FUL218" s="28"/>
      <c r="FUM218" s="28"/>
      <c r="FUN218" s="28"/>
      <c r="FUO218" s="28"/>
      <c r="FUP218" s="28"/>
      <c r="FUQ218" s="28"/>
      <c r="FUR218" s="28"/>
      <c r="FUS218" s="28"/>
      <c r="FUT218" s="28"/>
      <c r="FUU218" s="28"/>
      <c r="FUV218" s="28"/>
      <c r="FUW218" s="28"/>
      <c r="FUX218" s="28"/>
      <c r="FUY218" s="28"/>
      <c r="FUZ218" s="28"/>
      <c r="FVA218" s="28"/>
      <c r="FVB218" s="28"/>
      <c r="FVC218" s="28"/>
      <c r="FVD218" s="28"/>
      <c r="FVE218" s="28"/>
      <c r="FVF218" s="28"/>
      <c r="FVG218" s="28"/>
      <c r="FVH218" s="28"/>
      <c r="FVI218" s="28"/>
      <c r="FVJ218" s="28"/>
      <c r="FVK218" s="28"/>
      <c r="FVL218" s="28"/>
      <c r="FVM218" s="28"/>
      <c r="FVN218" s="28"/>
      <c r="FVO218" s="28"/>
      <c r="FVP218" s="28"/>
      <c r="FVQ218" s="28"/>
      <c r="FVR218" s="28"/>
      <c r="FVS218" s="28"/>
      <c r="FVT218" s="28"/>
      <c r="FVU218" s="28"/>
      <c r="FVV218" s="28"/>
      <c r="FVW218" s="28"/>
      <c r="FVX218" s="28"/>
      <c r="FVY218" s="28"/>
      <c r="FVZ218" s="28"/>
      <c r="FWA218" s="28"/>
      <c r="FWB218" s="28"/>
      <c r="FWC218" s="28"/>
      <c r="FWD218" s="28"/>
      <c r="FWE218" s="28"/>
      <c r="FWF218" s="28"/>
      <c r="FWG218" s="28"/>
      <c r="FWH218" s="28"/>
      <c r="FWI218" s="28"/>
      <c r="FWJ218" s="28"/>
      <c r="FWK218" s="28"/>
      <c r="FWL218" s="28"/>
      <c r="FWM218" s="28"/>
      <c r="FWN218" s="28"/>
      <c r="FWO218" s="28"/>
      <c r="FWP218" s="28"/>
      <c r="FWQ218" s="28"/>
      <c r="FWR218" s="28"/>
      <c r="FWS218" s="28"/>
      <c r="FWT218" s="28"/>
      <c r="FWU218" s="28"/>
      <c r="FWV218" s="28"/>
      <c r="FWW218" s="28"/>
      <c r="FWX218" s="28"/>
      <c r="FWY218" s="28"/>
      <c r="FWZ218" s="28"/>
      <c r="FXA218" s="28"/>
      <c r="FXB218" s="28"/>
      <c r="FXC218" s="28"/>
      <c r="FXD218" s="28"/>
      <c r="FXE218" s="28"/>
      <c r="FXF218" s="28"/>
      <c r="FXG218" s="28"/>
      <c r="FXH218" s="28"/>
      <c r="FXI218" s="28"/>
      <c r="FXJ218" s="28"/>
      <c r="FXK218" s="28"/>
      <c r="FXL218" s="28"/>
      <c r="FXM218" s="28"/>
      <c r="FXN218" s="28"/>
      <c r="FXO218" s="28"/>
      <c r="FXP218" s="28"/>
      <c r="FXQ218" s="28"/>
      <c r="FXR218" s="28"/>
      <c r="FXS218" s="28"/>
      <c r="FXT218" s="28"/>
      <c r="FXU218" s="28"/>
      <c r="FXV218" s="28"/>
      <c r="FXW218" s="28"/>
      <c r="FXX218" s="28"/>
      <c r="FXY218" s="28"/>
      <c r="FXZ218" s="28"/>
      <c r="FYA218" s="28"/>
      <c r="FYB218" s="28"/>
      <c r="FYC218" s="28"/>
      <c r="FYD218" s="28"/>
      <c r="FYE218" s="28"/>
      <c r="FYF218" s="28"/>
      <c r="FYG218" s="28"/>
      <c r="FYH218" s="28"/>
      <c r="FYI218" s="28"/>
      <c r="FYJ218" s="28"/>
      <c r="FYK218" s="28"/>
      <c r="FYL218" s="28"/>
      <c r="FYM218" s="28"/>
      <c r="FYN218" s="28"/>
      <c r="FYO218" s="28"/>
      <c r="FYP218" s="28"/>
      <c r="FYQ218" s="28"/>
      <c r="FYR218" s="28"/>
      <c r="FYS218" s="28"/>
      <c r="FYT218" s="28"/>
      <c r="FYU218" s="28"/>
      <c r="FYV218" s="28"/>
      <c r="FYW218" s="28"/>
      <c r="FYX218" s="28"/>
      <c r="FYY218" s="28"/>
      <c r="FYZ218" s="28"/>
      <c r="FZA218" s="28"/>
      <c r="FZB218" s="28"/>
      <c r="FZC218" s="28"/>
      <c r="FZD218" s="28"/>
      <c r="FZE218" s="28"/>
      <c r="FZF218" s="28"/>
      <c r="FZG218" s="28"/>
      <c r="FZH218" s="28"/>
      <c r="FZI218" s="28"/>
      <c r="FZJ218" s="28"/>
      <c r="FZK218" s="28"/>
      <c r="FZL218" s="28"/>
      <c r="FZM218" s="28"/>
      <c r="FZN218" s="28"/>
      <c r="FZO218" s="28"/>
      <c r="FZP218" s="28"/>
      <c r="FZQ218" s="28"/>
      <c r="FZR218" s="28"/>
      <c r="FZS218" s="28"/>
      <c r="FZT218" s="28"/>
      <c r="FZU218" s="28"/>
      <c r="FZV218" s="28"/>
      <c r="FZW218" s="28"/>
      <c r="FZX218" s="28"/>
      <c r="FZY218" s="28"/>
      <c r="FZZ218" s="28"/>
      <c r="GAA218" s="28"/>
      <c r="GAB218" s="28"/>
      <c r="GAC218" s="28"/>
      <c r="GAD218" s="28"/>
      <c r="GAE218" s="28"/>
      <c r="GAF218" s="28"/>
      <c r="GAG218" s="28"/>
      <c r="GAH218" s="28"/>
      <c r="GAI218" s="28"/>
      <c r="GAJ218" s="28"/>
      <c r="GAK218" s="28"/>
      <c r="GAL218" s="28"/>
      <c r="GAM218" s="28"/>
      <c r="GAN218" s="28"/>
      <c r="GAO218" s="28"/>
      <c r="GAP218" s="28"/>
      <c r="GAQ218" s="28"/>
      <c r="GAR218" s="28"/>
      <c r="GAS218" s="28"/>
      <c r="GAT218" s="28"/>
      <c r="GAU218" s="28"/>
      <c r="GAV218" s="28"/>
      <c r="GAW218" s="28"/>
      <c r="GAX218" s="28"/>
      <c r="GAY218" s="28"/>
      <c r="GAZ218" s="28"/>
      <c r="GBA218" s="28"/>
      <c r="GBB218" s="28"/>
      <c r="GBC218" s="28"/>
      <c r="GBD218" s="28"/>
      <c r="GBE218" s="28"/>
      <c r="GBF218" s="28"/>
      <c r="GBG218" s="28"/>
      <c r="GBH218" s="28"/>
      <c r="GBI218" s="28"/>
      <c r="GBJ218" s="28"/>
      <c r="GBK218" s="28"/>
      <c r="GBL218" s="28"/>
      <c r="GBM218" s="28"/>
      <c r="GBN218" s="28"/>
      <c r="GBO218" s="28"/>
      <c r="GBP218" s="28"/>
      <c r="GBQ218" s="28"/>
      <c r="GBR218" s="28"/>
      <c r="GBS218" s="28"/>
      <c r="GBT218" s="28"/>
      <c r="GBU218" s="28"/>
      <c r="GBV218" s="28"/>
      <c r="GBW218" s="28"/>
      <c r="GBX218" s="28"/>
      <c r="GBY218" s="28"/>
      <c r="GBZ218" s="28"/>
      <c r="GCA218" s="28"/>
      <c r="GCB218" s="28"/>
      <c r="GCC218" s="28"/>
      <c r="GCD218" s="28"/>
      <c r="GCE218" s="28"/>
      <c r="GCF218" s="28"/>
      <c r="GCG218" s="28"/>
      <c r="GCH218" s="28"/>
      <c r="GCI218" s="28"/>
      <c r="GCJ218" s="28"/>
      <c r="GCK218" s="28"/>
      <c r="GCL218" s="28"/>
      <c r="GCM218" s="28"/>
      <c r="GCN218" s="28"/>
      <c r="GCO218" s="28"/>
      <c r="GCP218" s="28"/>
      <c r="GCQ218" s="28"/>
      <c r="GCR218" s="28"/>
      <c r="GCS218" s="28"/>
      <c r="GCT218" s="28"/>
      <c r="GCU218" s="28"/>
      <c r="GCV218" s="28"/>
      <c r="GCW218" s="28"/>
      <c r="GCX218" s="28"/>
      <c r="GCY218" s="28"/>
      <c r="GCZ218" s="28"/>
      <c r="GDA218" s="28"/>
      <c r="GDB218" s="28"/>
      <c r="GDC218" s="28"/>
      <c r="GDD218" s="28"/>
      <c r="GDE218" s="28"/>
      <c r="GDF218" s="28"/>
      <c r="GDG218" s="28"/>
      <c r="GDH218" s="28"/>
      <c r="GDI218" s="28"/>
      <c r="GDJ218" s="28"/>
      <c r="GDK218" s="28"/>
      <c r="GDL218" s="28"/>
      <c r="GDM218" s="28"/>
      <c r="GDN218" s="28"/>
      <c r="GDO218" s="28"/>
      <c r="GDP218" s="28"/>
      <c r="GDQ218" s="28"/>
      <c r="GDR218" s="28"/>
      <c r="GDS218" s="28"/>
      <c r="GDT218" s="28"/>
      <c r="GDU218" s="28"/>
      <c r="GDV218" s="28"/>
      <c r="GDW218" s="28"/>
      <c r="GDX218" s="28"/>
      <c r="GDY218" s="28"/>
      <c r="GDZ218" s="28"/>
      <c r="GEA218" s="28"/>
      <c r="GEB218" s="28"/>
      <c r="GEC218" s="28"/>
      <c r="GED218" s="28"/>
      <c r="GEE218" s="28"/>
      <c r="GEF218" s="28"/>
      <c r="GEG218" s="28"/>
      <c r="GEH218" s="28"/>
      <c r="GEI218" s="28"/>
      <c r="GEJ218" s="28"/>
      <c r="GEK218" s="28"/>
      <c r="GEL218" s="28"/>
      <c r="GEM218" s="28"/>
      <c r="GEN218" s="28"/>
      <c r="GEO218" s="28"/>
      <c r="GEP218" s="28"/>
      <c r="GEQ218" s="28"/>
      <c r="GER218" s="28"/>
      <c r="GES218" s="28"/>
      <c r="GET218" s="28"/>
      <c r="GEU218" s="28"/>
      <c r="GEV218" s="28"/>
      <c r="GEW218" s="28"/>
      <c r="GEX218" s="28"/>
      <c r="GEY218" s="28"/>
      <c r="GEZ218" s="28"/>
      <c r="GFA218" s="28"/>
      <c r="GFB218" s="28"/>
      <c r="GFC218" s="28"/>
      <c r="GFD218" s="28"/>
      <c r="GFE218" s="28"/>
      <c r="GFF218" s="28"/>
      <c r="GFG218" s="28"/>
      <c r="GFH218" s="28"/>
      <c r="GFI218" s="28"/>
      <c r="GFJ218" s="28"/>
      <c r="GFK218" s="28"/>
      <c r="GFL218" s="28"/>
      <c r="GFM218" s="28"/>
      <c r="GFN218" s="28"/>
      <c r="GFO218" s="28"/>
      <c r="GFP218" s="28"/>
      <c r="GFQ218" s="28"/>
      <c r="GFR218" s="28"/>
      <c r="GFS218" s="28"/>
      <c r="GFT218" s="28"/>
      <c r="GFU218" s="28"/>
      <c r="GFV218" s="28"/>
      <c r="GFW218" s="28"/>
      <c r="GFX218" s="28"/>
      <c r="GFY218" s="28"/>
      <c r="GFZ218" s="28"/>
      <c r="GGA218" s="28"/>
      <c r="GGB218" s="28"/>
      <c r="GGC218" s="28"/>
      <c r="GGD218" s="28"/>
      <c r="GGE218" s="28"/>
      <c r="GGF218" s="28"/>
      <c r="GGG218" s="28"/>
      <c r="GGH218" s="28"/>
      <c r="GGI218" s="28"/>
      <c r="GGJ218" s="28"/>
      <c r="GGK218" s="28"/>
      <c r="GGL218" s="28"/>
      <c r="GGM218" s="28"/>
      <c r="GGN218" s="28"/>
      <c r="GGO218" s="28"/>
      <c r="GGP218" s="28"/>
      <c r="GGQ218" s="28"/>
      <c r="GGR218" s="28"/>
      <c r="GGS218" s="28"/>
      <c r="GGT218" s="28"/>
      <c r="GGU218" s="28"/>
      <c r="GGV218" s="28"/>
      <c r="GGW218" s="28"/>
      <c r="GGX218" s="28"/>
      <c r="GGY218" s="28"/>
      <c r="GGZ218" s="28"/>
      <c r="GHA218" s="28"/>
      <c r="GHB218" s="28"/>
      <c r="GHC218" s="28"/>
      <c r="GHD218" s="28"/>
      <c r="GHE218" s="28"/>
      <c r="GHF218" s="28"/>
      <c r="GHG218" s="28"/>
      <c r="GHH218" s="28"/>
      <c r="GHI218" s="28"/>
      <c r="GHJ218" s="28"/>
      <c r="GHK218" s="28"/>
      <c r="GHL218" s="28"/>
      <c r="GHM218" s="28"/>
      <c r="GHN218" s="28"/>
      <c r="GHO218" s="28"/>
      <c r="GHP218" s="28"/>
      <c r="GHQ218" s="28"/>
      <c r="GHR218" s="28"/>
      <c r="GHS218" s="28"/>
      <c r="GHT218" s="28"/>
      <c r="GHU218" s="28"/>
      <c r="GHV218" s="28"/>
      <c r="GHW218" s="28"/>
      <c r="GHX218" s="28"/>
      <c r="GHY218" s="28"/>
      <c r="GHZ218" s="28"/>
      <c r="GIA218" s="28"/>
      <c r="GIB218" s="28"/>
      <c r="GIC218" s="28"/>
      <c r="GID218" s="28"/>
      <c r="GIE218" s="28"/>
      <c r="GIF218" s="28"/>
      <c r="GIG218" s="28"/>
      <c r="GIH218" s="28"/>
      <c r="GII218" s="28"/>
      <c r="GIJ218" s="28"/>
      <c r="GIK218" s="28"/>
      <c r="GIL218" s="28"/>
      <c r="GIM218" s="28"/>
      <c r="GIN218" s="28"/>
      <c r="GIO218" s="28"/>
      <c r="GIP218" s="28"/>
      <c r="GIQ218" s="28"/>
      <c r="GIR218" s="28"/>
      <c r="GIS218" s="28"/>
      <c r="GIT218" s="28"/>
      <c r="GIU218" s="28"/>
      <c r="GIV218" s="28"/>
      <c r="GIW218" s="28"/>
      <c r="GIX218" s="28"/>
      <c r="GIY218" s="28"/>
      <c r="GIZ218" s="28"/>
      <c r="GJA218" s="28"/>
      <c r="GJB218" s="28"/>
      <c r="GJC218" s="28"/>
      <c r="GJD218" s="28"/>
      <c r="GJE218" s="28"/>
      <c r="GJF218" s="28"/>
      <c r="GJG218" s="28"/>
      <c r="GJH218" s="28"/>
      <c r="GJI218" s="28"/>
      <c r="GJJ218" s="28"/>
      <c r="GJK218" s="28"/>
      <c r="GJL218" s="28"/>
      <c r="GJM218" s="28"/>
      <c r="GJN218" s="28"/>
      <c r="GJO218" s="28"/>
      <c r="GJP218" s="28"/>
      <c r="GJQ218" s="28"/>
      <c r="GJR218" s="28"/>
      <c r="GJS218" s="28"/>
      <c r="GJT218" s="28"/>
      <c r="GJU218" s="28"/>
      <c r="GJV218" s="28"/>
      <c r="GJW218" s="28"/>
      <c r="GJX218" s="28"/>
      <c r="GJY218" s="28"/>
      <c r="GJZ218" s="28"/>
      <c r="GKA218" s="28"/>
      <c r="GKB218" s="28"/>
      <c r="GKC218" s="28"/>
      <c r="GKD218" s="28"/>
      <c r="GKE218" s="28"/>
      <c r="GKF218" s="28"/>
      <c r="GKG218" s="28"/>
      <c r="GKH218" s="28"/>
      <c r="GKI218" s="28"/>
      <c r="GKJ218" s="28"/>
      <c r="GKK218" s="28"/>
      <c r="GKL218" s="28"/>
      <c r="GKM218" s="28"/>
      <c r="GKN218" s="28"/>
      <c r="GKO218" s="28"/>
      <c r="GKP218" s="28"/>
      <c r="GKQ218" s="28"/>
      <c r="GKR218" s="28"/>
      <c r="GKS218" s="28"/>
      <c r="GKT218" s="28"/>
      <c r="GKU218" s="28"/>
      <c r="GKV218" s="28"/>
      <c r="GKW218" s="28"/>
      <c r="GKX218" s="28"/>
      <c r="GKY218" s="28"/>
      <c r="GKZ218" s="28"/>
      <c r="GLA218" s="28"/>
      <c r="GLB218" s="28"/>
      <c r="GLC218" s="28"/>
      <c r="GLD218" s="28"/>
      <c r="GLE218" s="28"/>
      <c r="GLF218" s="28"/>
      <c r="GLG218" s="28"/>
      <c r="GLH218" s="28"/>
      <c r="GLI218" s="28"/>
      <c r="GLJ218" s="28"/>
      <c r="GLK218" s="28"/>
    </row>
    <row r="219" spans="1:5055" s="38" customFormat="1">
      <c r="A219" s="78">
        <v>216</v>
      </c>
      <c r="B219" s="81" t="s">
        <v>161</v>
      </c>
      <c r="C219" s="3">
        <v>66.5</v>
      </c>
      <c r="D219" s="31" t="s">
        <v>178</v>
      </c>
      <c r="E219" s="7">
        <v>46183</v>
      </c>
      <c r="F219" s="4" t="s">
        <v>297</v>
      </c>
      <c r="G219" s="4" t="s">
        <v>296</v>
      </c>
      <c r="H219" s="4" t="s">
        <v>231</v>
      </c>
      <c r="I219" s="5">
        <v>9318</v>
      </c>
      <c r="J219" s="36" t="s">
        <v>203</v>
      </c>
      <c r="K219" s="2">
        <v>5180</v>
      </c>
      <c r="L219" s="2">
        <f>K219*0.95</f>
        <v>4921</v>
      </c>
      <c r="M219" s="2">
        <f>L219-K219</f>
        <v>-259</v>
      </c>
      <c r="N219" s="22">
        <f>+L219/K219</f>
        <v>0.95</v>
      </c>
      <c r="O219" s="56">
        <f>E219+P219+1+3+17</f>
        <v>46221.956421930823</v>
      </c>
      <c r="P219" s="39">
        <f>L219/Q219</f>
        <v>17.956421930819847</v>
      </c>
      <c r="Q219" s="27">
        <f>640*40/82*0.96*0.9144</f>
        <v>274.0523707317073</v>
      </c>
      <c r="R219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  <c r="FS219" s="28"/>
      <c r="FT219" s="28"/>
      <c r="FU219" s="28"/>
      <c r="FV219" s="28"/>
      <c r="FW219" s="28"/>
      <c r="FX219" s="28"/>
      <c r="FY219" s="28"/>
      <c r="FZ219" s="28"/>
      <c r="GA219" s="28"/>
      <c r="GB219" s="28"/>
      <c r="GC219" s="28"/>
      <c r="GD219" s="28"/>
      <c r="GE219" s="28"/>
      <c r="GF219" s="28"/>
      <c r="GG219" s="28"/>
      <c r="GH219" s="28"/>
      <c r="GI219" s="28"/>
      <c r="GJ219" s="28"/>
      <c r="GK219" s="28"/>
      <c r="GL219" s="28"/>
      <c r="GM219" s="28"/>
      <c r="GN219" s="28"/>
      <c r="GO219" s="28"/>
      <c r="GP219" s="28"/>
      <c r="GQ219" s="28"/>
      <c r="GR219" s="28"/>
      <c r="GS219" s="28"/>
      <c r="GT219" s="28"/>
      <c r="GU219" s="28"/>
      <c r="GV219" s="28"/>
      <c r="GW219" s="28"/>
      <c r="GX219" s="28"/>
      <c r="GY219" s="28"/>
      <c r="GZ219" s="28"/>
      <c r="HA219" s="28"/>
      <c r="HB219" s="28"/>
      <c r="HC219" s="28"/>
      <c r="HD219" s="28"/>
      <c r="HE219" s="28"/>
      <c r="HF219" s="28"/>
      <c r="HG219" s="28"/>
      <c r="HH219" s="28"/>
      <c r="HI219" s="28"/>
      <c r="HJ219" s="28"/>
      <c r="HK219" s="28"/>
      <c r="HL219" s="28"/>
      <c r="HM219" s="28"/>
      <c r="HN219" s="28"/>
      <c r="HO219" s="28"/>
      <c r="HP219" s="28"/>
      <c r="HQ219" s="28"/>
      <c r="HR219" s="28"/>
      <c r="HS219" s="28"/>
      <c r="HT219" s="28"/>
      <c r="HU219" s="28"/>
      <c r="HV219" s="28"/>
      <c r="HW219" s="28"/>
      <c r="HX219" s="28"/>
      <c r="HY219" s="28"/>
      <c r="HZ219" s="28"/>
      <c r="IA219" s="28"/>
      <c r="IB219" s="28"/>
      <c r="IC219" s="28"/>
      <c r="ID219" s="28"/>
      <c r="IE219" s="28"/>
      <c r="IF219" s="28"/>
      <c r="IG219" s="28"/>
      <c r="IH219" s="28"/>
      <c r="II219" s="28"/>
      <c r="IJ219" s="28"/>
      <c r="IK219" s="28"/>
      <c r="IL219" s="28"/>
      <c r="IM219" s="28"/>
      <c r="IN219" s="28"/>
      <c r="IO219" s="28"/>
      <c r="IP219" s="28"/>
      <c r="IQ219" s="28"/>
      <c r="IR219" s="28"/>
      <c r="IS219" s="28"/>
      <c r="IT219" s="28"/>
      <c r="IU219" s="28"/>
      <c r="IV219" s="28"/>
      <c r="IW219" s="28"/>
      <c r="IX219" s="28"/>
      <c r="IY219" s="28"/>
      <c r="IZ219" s="28"/>
      <c r="JA219" s="28"/>
      <c r="JB219" s="28"/>
      <c r="JC219" s="28"/>
      <c r="JD219" s="28"/>
      <c r="JE219" s="28"/>
      <c r="JF219" s="28"/>
      <c r="JG219" s="28"/>
      <c r="JH219" s="28"/>
      <c r="JI219" s="28"/>
      <c r="JJ219" s="28"/>
      <c r="JK219" s="28"/>
      <c r="JL219" s="28"/>
      <c r="JM219" s="28"/>
      <c r="JN219" s="28"/>
      <c r="JO219" s="28"/>
      <c r="JP219" s="28"/>
      <c r="JQ219" s="28"/>
      <c r="JR219" s="28"/>
      <c r="JS219" s="28"/>
      <c r="JT219" s="28"/>
      <c r="JU219" s="28"/>
      <c r="JV219" s="28"/>
      <c r="JW219" s="28"/>
      <c r="JX219" s="28"/>
      <c r="JY219" s="28"/>
      <c r="JZ219" s="28"/>
      <c r="KA219" s="28"/>
      <c r="KB219" s="28"/>
      <c r="KC219" s="28"/>
      <c r="KD219" s="28"/>
      <c r="KE219" s="28"/>
      <c r="KF219" s="28"/>
      <c r="KG219" s="28"/>
      <c r="KH219" s="28"/>
      <c r="KI219" s="28"/>
      <c r="KJ219" s="28"/>
      <c r="KK219" s="28"/>
      <c r="KL219" s="28"/>
      <c r="KM219" s="28"/>
      <c r="KN219" s="28"/>
      <c r="KO219" s="28"/>
      <c r="KP219" s="28"/>
      <c r="KQ219" s="28"/>
      <c r="KR219" s="28"/>
      <c r="KS219" s="28"/>
      <c r="KT219" s="28"/>
      <c r="KU219" s="28"/>
      <c r="KV219" s="28"/>
      <c r="KW219" s="28"/>
      <c r="KX219" s="28"/>
      <c r="KY219" s="28"/>
      <c r="KZ219" s="28"/>
      <c r="LA219" s="28"/>
      <c r="LB219" s="28"/>
      <c r="LC219" s="28"/>
      <c r="LD219" s="28"/>
      <c r="LE219" s="28"/>
      <c r="LF219" s="28"/>
      <c r="LG219" s="28"/>
      <c r="LH219" s="28"/>
      <c r="LI219" s="28"/>
      <c r="LJ219" s="28"/>
      <c r="LK219" s="28"/>
      <c r="LL219" s="28"/>
      <c r="LM219" s="28"/>
      <c r="LN219" s="28"/>
      <c r="LO219" s="28"/>
      <c r="LP219" s="28"/>
      <c r="LQ219" s="28"/>
      <c r="LR219" s="28"/>
      <c r="LS219" s="28"/>
      <c r="LT219" s="28"/>
      <c r="LU219" s="28"/>
      <c r="LV219" s="28"/>
      <c r="LW219" s="28"/>
      <c r="LX219" s="28"/>
      <c r="LY219" s="28"/>
      <c r="LZ219" s="28"/>
      <c r="MA219" s="28"/>
      <c r="MB219" s="28"/>
      <c r="MC219" s="28"/>
      <c r="MD219" s="28"/>
      <c r="ME219" s="28"/>
      <c r="MF219" s="28"/>
      <c r="MG219" s="28"/>
      <c r="MH219" s="28"/>
      <c r="MI219" s="28"/>
      <c r="MJ219" s="28"/>
      <c r="MK219" s="28"/>
      <c r="ML219" s="28"/>
      <c r="MM219" s="28"/>
      <c r="MN219" s="28"/>
      <c r="MO219" s="28"/>
      <c r="MP219" s="28"/>
      <c r="MQ219" s="28"/>
      <c r="MR219" s="28"/>
      <c r="MS219" s="28"/>
      <c r="MT219" s="28"/>
      <c r="MU219" s="28"/>
      <c r="MV219" s="28"/>
      <c r="MW219" s="28"/>
      <c r="MX219" s="28"/>
      <c r="MY219" s="28"/>
      <c r="MZ219" s="28"/>
      <c r="NA219" s="28"/>
      <c r="NB219" s="28"/>
      <c r="NC219" s="28"/>
      <c r="ND219" s="28"/>
      <c r="NE219" s="28"/>
      <c r="NF219" s="28"/>
      <c r="NG219" s="28"/>
      <c r="NH219" s="28"/>
      <c r="NI219" s="28"/>
      <c r="NJ219" s="28"/>
      <c r="NK219" s="28"/>
      <c r="NL219" s="28"/>
      <c r="NM219" s="28"/>
      <c r="NN219" s="28"/>
      <c r="NO219" s="28"/>
      <c r="NP219" s="28"/>
      <c r="NQ219" s="28"/>
      <c r="NR219" s="28"/>
      <c r="NS219" s="28"/>
      <c r="NT219" s="28"/>
      <c r="NU219" s="28"/>
      <c r="NV219" s="28"/>
      <c r="NW219" s="28"/>
      <c r="NX219" s="28"/>
      <c r="NY219" s="28"/>
      <c r="NZ219" s="28"/>
      <c r="OA219" s="28"/>
      <c r="OB219" s="28"/>
      <c r="OC219" s="28"/>
      <c r="OD219" s="28"/>
      <c r="OE219" s="28"/>
      <c r="OF219" s="28"/>
      <c r="OG219" s="28"/>
      <c r="OH219" s="28"/>
      <c r="OI219" s="28"/>
      <c r="OJ219" s="28"/>
      <c r="OK219" s="28"/>
      <c r="OL219" s="28"/>
      <c r="OM219" s="28"/>
      <c r="ON219" s="28"/>
      <c r="OO219" s="28"/>
      <c r="OP219" s="28"/>
      <c r="OQ219" s="28"/>
      <c r="OR219" s="28"/>
      <c r="OS219" s="28"/>
      <c r="OT219" s="28"/>
      <c r="OU219" s="28"/>
      <c r="OV219" s="28"/>
      <c r="OW219" s="28"/>
      <c r="OX219" s="28"/>
      <c r="OY219" s="28"/>
      <c r="OZ219" s="28"/>
      <c r="PA219" s="28"/>
      <c r="PB219" s="28"/>
      <c r="PC219" s="28"/>
      <c r="PD219" s="28"/>
      <c r="PE219" s="28"/>
      <c r="PF219" s="28"/>
      <c r="PG219" s="28"/>
      <c r="PH219" s="28"/>
      <c r="PI219" s="28"/>
      <c r="PJ219" s="28"/>
      <c r="PK219" s="28"/>
      <c r="PL219" s="28"/>
      <c r="PM219" s="28"/>
      <c r="PN219" s="28"/>
      <c r="PO219" s="28"/>
      <c r="PP219" s="28"/>
      <c r="PQ219" s="28"/>
      <c r="PR219" s="28"/>
      <c r="PS219" s="28"/>
      <c r="PT219" s="28"/>
      <c r="PU219" s="28"/>
      <c r="PV219" s="28"/>
      <c r="PW219" s="28"/>
      <c r="PX219" s="28"/>
      <c r="PY219" s="28"/>
      <c r="PZ219" s="28"/>
      <c r="QA219" s="28"/>
      <c r="QB219" s="28"/>
      <c r="QC219" s="28"/>
      <c r="QD219" s="28"/>
      <c r="QE219" s="28"/>
      <c r="QF219" s="28"/>
      <c r="QG219" s="28"/>
      <c r="QH219" s="28"/>
      <c r="QI219" s="28"/>
      <c r="QJ219" s="28"/>
      <c r="QK219" s="28"/>
      <c r="QL219" s="28"/>
      <c r="QM219" s="28"/>
      <c r="QN219" s="28"/>
      <c r="QO219" s="28"/>
      <c r="QP219" s="28"/>
      <c r="QQ219" s="28"/>
      <c r="QR219" s="28"/>
      <c r="QS219" s="28"/>
      <c r="QT219" s="28"/>
      <c r="QU219" s="28"/>
      <c r="QV219" s="28"/>
      <c r="QW219" s="28"/>
      <c r="QX219" s="28"/>
      <c r="QY219" s="28"/>
      <c r="QZ219" s="28"/>
      <c r="RA219" s="28"/>
      <c r="RB219" s="28"/>
      <c r="RC219" s="28"/>
      <c r="RD219" s="28"/>
      <c r="RE219" s="28"/>
      <c r="RF219" s="28"/>
      <c r="RG219" s="28"/>
      <c r="RH219" s="28"/>
      <c r="RI219" s="28"/>
      <c r="RJ219" s="28"/>
      <c r="RK219" s="28"/>
      <c r="RL219" s="28"/>
      <c r="RM219" s="28"/>
      <c r="RN219" s="28"/>
      <c r="RO219" s="28"/>
      <c r="RP219" s="28"/>
      <c r="RQ219" s="28"/>
      <c r="RR219" s="28"/>
      <c r="RS219" s="28"/>
      <c r="RT219" s="28"/>
      <c r="RU219" s="28"/>
      <c r="RV219" s="28"/>
      <c r="RW219" s="28"/>
      <c r="RX219" s="28"/>
      <c r="RY219" s="28"/>
      <c r="RZ219" s="28"/>
      <c r="SA219" s="28"/>
      <c r="SB219" s="28"/>
      <c r="SC219" s="28"/>
      <c r="SD219" s="28"/>
      <c r="SE219" s="28"/>
      <c r="SF219" s="28"/>
      <c r="SG219" s="28"/>
      <c r="SH219" s="28"/>
      <c r="SI219" s="28"/>
      <c r="SJ219" s="28"/>
      <c r="SK219" s="28"/>
      <c r="SL219" s="28"/>
      <c r="SM219" s="28"/>
      <c r="SN219" s="28"/>
      <c r="SO219" s="28"/>
      <c r="SP219" s="28"/>
      <c r="SQ219" s="28"/>
      <c r="SR219" s="28"/>
      <c r="SS219" s="28"/>
      <c r="ST219" s="28"/>
      <c r="SU219" s="28"/>
      <c r="SV219" s="28"/>
      <c r="SW219" s="28"/>
      <c r="SX219" s="28"/>
      <c r="SY219" s="28"/>
      <c r="SZ219" s="28"/>
      <c r="TA219" s="28"/>
      <c r="TB219" s="28"/>
      <c r="TC219" s="28"/>
      <c r="TD219" s="28"/>
      <c r="TE219" s="28"/>
      <c r="TF219" s="28"/>
      <c r="TG219" s="28"/>
      <c r="TH219" s="28"/>
      <c r="TI219" s="28"/>
      <c r="TJ219" s="28"/>
      <c r="TK219" s="28"/>
      <c r="TL219" s="28"/>
      <c r="TM219" s="28"/>
      <c r="TN219" s="28"/>
      <c r="TO219" s="28"/>
      <c r="TP219" s="28"/>
      <c r="TQ219" s="28"/>
      <c r="TR219" s="28"/>
      <c r="TS219" s="28"/>
      <c r="TT219" s="28"/>
      <c r="TU219" s="28"/>
      <c r="TV219" s="28"/>
      <c r="TW219" s="28"/>
      <c r="TX219" s="28"/>
      <c r="TY219" s="28"/>
      <c r="TZ219" s="28"/>
      <c r="UA219" s="28"/>
      <c r="UB219" s="28"/>
      <c r="UC219" s="28"/>
      <c r="UD219" s="28"/>
      <c r="UE219" s="28"/>
      <c r="UF219" s="28"/>
      <c r="UG219" s="28"/>
      <c r="UH219" s="28"/>
      <c r="UI219" s="28"/>
      <c r="UJ219" s="28"/>
      <c r="UK219" s="28"/>
      <c r="UL219" s="28"/>
      <c r="UM219" s="28"/>
      <c r="UN219" s="28"/>
      <c r="UO219" s="28"/>
      <c r="UP219" s="28"/>
      <c r="UQ219" s="28"/>
      <c r="UR219" s="28"/>
      <c r="US219" s="28"/>
      <c r="UT219" s="28"/>
      <c r="UU219" s="28"/>
      <c r="UV219" s="28"/>
      <c r="UW219" s="28"/>
      <c r="UX219" s="28"/>
      <c r="UY219" s="28"/>
      <c r="UZ219" s="28"/>
      <c r="VA219" s="28"/>
      <c r="VB219" s="28"/>
      <c r="VC219" s="28"/>
      <c r="VD219" s="28"/>
      <c r="VE219" s="28"/>
      <c r="VF219" s="28"/>
      <c r="VG219" s="28"/>
      <c r="VH219" s="28"/>
      <c r="VI219" s="28"/>
      <c r="VJ219" s="28"/>
      <c r="VK219" s="28"/>
      <c r="VL219" s="28"/>
      <c r="VM219" s="28"/>
      <c r="VN219" s="28"/>
      <c r="VO219" s="28"/>
      <c r="VP219" s="28"/>
      <c r="VQ219" s="28"/>
      <c r="VR219" s="28"/>
      <c r="VS219" s="28"/>
      <c r="VT219" s="28"/>
      <c r="VU219" s="28"/>
      <c r="VV219" s="28"/>
      <c r="VW219" s="28"/>
      <c r="VX219" s="28"/>
      <c r="VY219" s="28"/>
      <c r="VZ219" s="28"/>
      <c r="WA219" s="28"/>
      <c r="WB219" s="28"/>
      <c r="WC219" s="28"/>
      <c r="WD219" s="28"/>
      <c r="WE219" s="28"/>
      <c r="WF219" s="28"/>
      <c r="WG219" s="28"/>
      <c r="WH219" s="28"/>
      <c r="WI219" s="28"/>
      <c r="WJ219" s="28"/>
      <c r="WK219" s="28"/>
      <c r="WL219" s="28"/>
      <c r="WM219" s="28"/>
      <c r="WN219" s="28"/>
      <c r="WO219" s="28"/>
      <c r="WP219" s="28"/>
      <c r="WQ219" s="28"/>
      <c r="WR219" s="28"/>
      <c r="WS219" s="28"/>
      <c r="WT219" s="28"/>
      <c r="WU219" s="28"/>
      <c r="WV219" s="28"/>
      <c r="WW219" s="28"/>
      <c r="WX219" s="28"/>
      <c r="WY219" s="28"/>
      <c r="WZ219" s="28"/>
      <c r="XA219" s="28"/>
      <c r="XB219" s="28"/>
      <c r="XC219" s="28"/>
      <c r="XD219" s="28"/>
      <c r="XE219" s="28"/>
      <c r="XF219" s="28"/>
      <c r="XG219" s="28"/>
      <c r="XH219" s="28"/>
      <c r="XI219" s="28"/>
      <c r="XJ219" s="28"/>
      <c r="XK219" s="28"/>
      <c r="XL219" s="28"/>
      <c r="XM219" s="28"/>
      <c r="XN219" s="28"/>
      <c r="XO219" s="28"/>
      <c r="XP219" s="28"/>
      <c r="XQ219" s="28"/>
      <c r="XR219" s="28"/>
      <c r="XS219" s="28"/>
      <c r="XT219" s="28"/>
      <c r="XU219" s="28"/>
      <c r="XV219" s="28"/>
      <c r="XW219" s="28"/>
      <c r="XX219" s="28"/>
      <c r="XY219" s="28"/>
      <c r="XZ219" s="28"/>
      <c r="YA219" s="28"/>
      <c r="YB219" s="28"/>
      <c r="YC219" s="28"/>
      <c r="YD219" s="28"/>
      <c r="YE219" s="28"/>
      <c r="YF219" s="28"/>
      <c r="YG219" s="28"/>
      <c r="YH219" s="28"/>
      <c r="YI219" s="28"/>
      <c r="YJ219" s="28"/>
      <c r="YK219" s="28"/>
      <c r="YL219" s="28"/>
      <c r="YM219" s="28"/>
      <c r="YN219" s="28"/>
      <c r="YO219" s="28"/>
      <c r="YP219" s="28"/>
      <c r="YQ219" s="28"/>
      <c r="YR219" s="28"/>
      <c r="YS219" s="28"/>
      <c r="YT219" s="28"/>
      <c r="YU219" s="28"/>
      <c r="YV219" s="28"/>
      <c r="YW219" s="28"/>
      <c r="YX219" s="28"/>
      <c r="YY219" s="28"/>
      <c r="YZ219" s="28"/>
      <c r="ZA219" s="28"/>
      <c r="ZB219" s="28"/>
      <c r="ZC219" s="28"/>
      <c r="ZD219" s="28"/>
      <c r="ZE219" s="28"/>
      <c r="ZF219" s="28"/>
      <c r="ZG219" s="28"/>
      <c r="ZH219" s="28"/>
      <c r="ZI219" s="28"/>
      <c r="ZJ219" s="28"/>
      <c r="ZK219" s="28"/>
      <c r="ZL219" s="28"/>
      <c r="ZM219" s="28"/>
      <c r="ZN219" s="28"/>
      <c r="ZO219" s="28"/>
      <c r="ZP219" s="28"/>
      <c r="ZQ219" s="28"/>
      <c r="ZR219" s="28"/>
      <c r="ZS219" s="28"/>
      <c r="ZT219" s="28"/>
      <c r="ZU219" s="28"/>
      <c r="ZV219" s="28"/>
      <c r="ZW219" s="28"/>
      <c r="ZX219" s="28"/>
      <c r="ZY219" s="28"/>
      <c r="ZZ219" s="28"/>
      <c r="AAA219" s="28"/>
      <c r="AAB219" s="28"/>
      <c r="AAC219" s="28"/>
      <c r="AAD219" s="28"/>
      <c r="AAE219" s="28"/>
      <c r="AAF219" s="28"/>
      <c r="AAG219" s="28"/>
      <c r="AAH219" s="28"/>
      <c r="AAI219" s="28"/>
      <c r="AAJ219" s="28"/>
      <c r="AAK219" s="28"/>
      <c r="AAL219" s="28"/>
      <c r="AAM219" s="28"/>
      <c r="AAN219" s="28"/>
      <c r="AAO219" s="28"/>
      <c r="AAP219" s="28"/>
      <c r="AAQ219" s="28"/>
      <c r="AAR219" s="28"/>
      <c r="AAS219" s="28"/>
      <c r="AAT219" s="28"/>
      <c r="AAU219" s="28"/>
      <c r="AAV219" s="28"/>
      <c r="AAW219" s="28"/>
      <c r="AAX219" s="28"/>
      <c r="AAY219" s="28"/>
      <c r="AAZ219" s="28"/>
      <c r="ABA219" s="28"/>
      <c r="ABB219" s="28"/>
      <c r="ABC219" s="28"/>
      <c r="ABD219" s="28"/>
      <c r="ABE219" s="28"/>
      <c r="ABF219" s="28"/>
      <c r="ABG219" s="28"/>
      <c r="ABH219" s="28"/>
      <c r="ABI219" s="28"/>
      <c r="ABJ219" s="28"/>
      <c r="ABK219" s="28"/>
      <c r="ABL219" s="28"/>
      <c r="ABM219" s="28"/>
      <c r="ABN219" s="28"/>
      <c r="ABO219" s="28"/>
      <c r="ABP219" s="28"/>
      <c r="ABQ219" s="28"/>
      <c r="ABR219" s="28"/>
      <c r="ABS219" s="28"/>
      <c r="ABT219" s="28"/>
      <c r="ABU219" s="28"/>
      <c r="ABV219" s="28"/>
      <c r="ABW219" s="28"/>
      <c r="ABX219" s="28"/>
      <c r="ABY219" s="28"/>
      <c r="ABZ219" s="28"/>
      <c r="ACA219" s="28"/>
      <c r="ACB219" s="28"/>
      <c r="ACC219" s="28"/>
      <c r="ACD219" s="28"/>
      <c r="ACE219" s="28"/>
      <c r="ACF219" s="28"/>
      <c r="ACG219" s="28"/>
      <c r="ACH219" s="28"/>
      <c r="ACI219" s="28"/>
      <c r="ACJ219" s="28"/>
      <c r="ACK219" s="28"/>
      <c r="ACL219" s="28"/>
      <c r="ACM219" s="28"/>
      <c r="ACN219" s="28"/>
      <c r="ACO219" s="28"/>
      <c r="ACP219" s="28"/>
      <c r="ACQ219" s="28"/>
      <c r="ACR219" s="28"/>
      <c r="ACS219" s="28"/>
      <c r="ACT219" s="28"/>
      <c r="ACU219" s="28"/>
      <c r="ACV219" s="28"/>
      <c r="ACW219" s="28"/>
      <c r="ACX219" s="28"/>
      <c r="ACY219" s="28"/>
      <c r="ACZ219" s="28"/>
      <c r="ADA219" s="28"/>
      <c r="ADB219" s="28"/>
      <c r="ADC219" s="28"/>
      <c r="ADD219" s="28"/>
      <c r="ADE219" s="28"/>
      <c r="ADF219" s="28"/>
      <c r="ADG219" s="28"/>
      <c r="ADH219" s="28"/>
      <c r="ADI219" s="28"/>
      <c r="ADJ219" s="28"/>
      <c r="ADK219" s="28"/>
      <c r="ADL219" s="28"/>
      <c r="ADM219" s="28"/>
      <c r="ADN219" s="28"/>
      <c r="ADO219" s="28"/>
      <c r="ADP219" s="28"/>
      <c r="ADQ219" s="28"/>
      <c r="ADR219" s="28"/>
      <c r="ADS219" s="28"/>
      <c r="ADT219" s="28"/>
      <c r="ADU219" s="28"/>
      <c r="ADV219" s="28"/>
      <c r="ADW219" s="28"/>
      <c r="ADX219" s="28"/>
      <c r="ADY219" s="28"/>
      <c r="ADZ219" s="28"/>
      <c r="AEA219" s="28"/>
      <c r="AEB219" s="28"/>
      <c r="AEC219" s="28"/>
      <c r="AED219" s="28"/>
      <c r="AEE219" s="28"/>
      <c r="AEF219" s="28"/>
      <c r="AEG219" s="28"/>
      <c r="AEH219" s="28"/>
      <c r="AEI219" s="28"/>
      <c r="AEJ219" s="28"/>
      <c r="AEK219" s="28"/>
      <c r="AEL219" s="28"/>
      <c r="AEM219" s="28"/>
      <c r="AEN219" s="28"/>
      <c r="AEO219" s="28"/>
      <c r="AEP219" s="28"/>
      <c r="AEQ219" s="28"/>
      <c r="AER219" s="28"/>
      <c r="AES219" s="28"/>
      <c r="AET219" s="28"/>
      <c r="AEU219" s="28"/>
      <c r="AEV219" s="28"/>
      <c r="AEW219" s="28"/>
      <c r="AEX219" s="28"/>
      <c r="AEY219" s="28"/>
      <c r="AEZ219" s="28"/>
      <c r="AFA219" s="28"/>
      <c r="AFB219" s="28"/>
      <c r="AFC219" s="28"/>
      <c r="AFD219" s="28"/>
      <c r="AFE219" s="28"/>
      <c r="AFF219" s="28"/>
      <c r="AFG219" s="28"/>
      <c r="AFH219" s="28"/>
      <c r="AFI219" s="28"/>
      <c r="AFJ219" s="28"/>
      <c r="AFK219" s="28"/>
      <c r="AFL219" s="28"/>
      <c r="AFM219" s="28"/>
      <c r="AFN219" s="28"/>
      <c r="AFO219" s="28"/>
      <c r="AFP219" s="28"/>
      <c r="AFQ219" s="28"/>
      <c r="AFR219" s="28"/>
      <c r="AFS219" s="28"/>
      <c r="AFT219" s="28"/>
      <c r="AFU219" s="28"/>
      <c r="AFV219" s="28"/>
      <c r="AFW219" s="28"/>
      <c r="AFX219" s="28"/>
      <c r="AFY219" s="28"/>
      <c r="AFZ219" s="28"/>
      <c r="AGA219" s="28"/>
      <c r="AGB219" s="28"/>
      <c r="AGC219" s="28"/>
      <c r="AGD219" s="28"/>
      <c r="AGE219" s="28"/>
      <c r="AGF219" s="28"/>
      <c r="AGG219" s="28"/>
      <c r="AGH219" s="28"/>
      <c r="AGI219" s="28"/>
      <c r="AGJ219" s="28"/>
      <c r="AGK219" s="28"/>
      <c r="AGL219" s="28"/>
      <c r="AGM219" s="28"/>
      <c r="AGN219" s="28"/>
      <c r="AGO219" s="28"/>
      <c r="AGP219" s="28"/>
      <c r="AGQ219" s="28"/>
      <c r="AGR219" s="28"/>
      <c r="AGS219" s="28"/>
      <c r="AGT219" s="28"/>
      <c r="AGU219" s="28"/>
      <c r="AGV219" s="28"/>
      <c r="AGW219" s="28"/>
      <c r="AGX219" s="28"/>
      <c r="AGY219" s="28"/>
      <c r="AGZ219" s="28"/>
      <c r="AHA219" s="28"/>
      <c r="AHB219" s="28"/>
      <c r="AHC219" s="28"/>
      <c r="AHD219" s="28"/>
      <c r="AHE219" s="28"/>
      <c r="AHF219" s="28"/>
      <c r="AHG219" s="28"/>
      <c r="AHH219" s="28"/>
      <c r="AHI219" s="28"/>
      <c r="AHJ219" s="28"/>
      <c r="AHK219" s="28"/>
      <c r="AHL219" s="28"/>
      <c r="AHM219" s="28"/>
      <c r="AHN219" s="28"/>
      <c r="AHO219" s="28"/>
      <c r="AHP219" s="28"/>
      <c r="AHQ219" s="28"/>
      <c r="AHR219" s="28"/>
      <c r="AHS219" s="28"/>
      <c r="AHT219" s="28"/>
      <c r="AHU219" s="28"/>
      <c r="AHV219" s="28"/>
      <c r="AHW219" s="28"/>
      <c r="AHX219" s="28"/>
      <c r="AHY219" s="28"/>
      <c r="AHZ219" s="28"/>
      <c r="AIA219" s="28"/>
      <c r="AIB219" s="28"/>
      <c r="AIC219" s="28"/>
      <c r="AID219" s="28"/>
      <c r="AIE219" s="28"/>
      <c r="AIF219" s="28"/>
      <c r="AIG219" s="28"/>
      <c r="AIH219" s="28"/>
      <c r="AII219" s="28"/>
      <c r="AIJ219" s="28"/>
      <c r="AIK219" s="28"/>
      <c r="AIL219" s="28"/>
      <c r="AIM219" s="28"/>
      <c r="AIN219" s="28"/>
      <c r="AIO219" s="28"/>
      <c r="AIP219" s="28"/>
      <c r="AIQ219" s="28"/>
      <c r="AIR219" s="28"/>
      <c r="AIS219" s="28"/>
      <c r="AIT219" s="28"/>
      <c r="AIU219" s="28"/>
      <c r="AIV219" s="28"/>
      <c r="AIW219" s="28"/>
      <c r="AIX219" s="28"/>
      <c r="AIY219" s="28"/>
      <c r="AIZ219" s="28"/>
      <c r="AJA219" s="28"/>
      <c r="AJB219" s="28"/>
      <c r="AJC219" s="28"/>
      <c r="AJD219" s="28"/>
      <c r="AJE219" s="28"/>
      <c r="AJF219" s="28"/>
      <c r="AJG219" s="28"/>
      <c r="AJH219" s="28"/>
      <c r="AJI219" s="28"/>
      <c r="AJJ219" s="28"/>
      <c r="AJK219" s="28"/>
      <c r="AJL219" s="28"/>
      <c r="AJM219" s="28"/>
      <c r="AJN219" s="28"/>
      <c r="AJO219" s="28"/>
      <c r="AJP219" s="28"/>
      <c r="AJQ219" s="28"/>
      <c r="AJR219" s="28"/>
      <c r="AJS219" s="28"/>
      <c r="AJT219" s="28"/>
      <c r="AJU219" s="28"/>
      <c r="AJV219" s="28"/>
      <c r="AJW219" s="28"/>
      <c r="AJX219" s="28"/>
      <c r="AJY219" s="28"/>
      <c r="AJZ219" s="28"/>
      <c r="AKA219" s="28"/>
      <c r="AKB219" s="28"/>
      <c r="AKC219" s="28"/>
      <c r="AKD219" s="28"/>
      <c r="AKE219" s="28"/>
      <c r="AKF219" s="28"/>
      <c r="AKG219" s="28"/>
      <c r="AKH219" s="28"/>
      <c r="AKI219" s="28"/>
      <c r="AKJ219" s="28"/>
      <c r="AKK219" s="28"/>
      <c r="AKL219" s="28"/>
      <c r="AKM219" s="28"/>
      <c r="AKN219" s="28"/>
      <c r="AKO219" s="28"/>
      <c r="AKP219" s="28"/>
      <c r="AKQ219" s="28"/>
      <c r="AKR219" s="28"/>
      <c r="AKS219" s="28"/>
      <c r="AKT219" s="28"/>
      <c r="AKU219" s="28"/>
      <c r="AKV219" s="28"/>
      <c r="AKW219" s="28"/>
      <c r="AKX219" s="28"/>
      <c r="AKY219" s="28"/>
      <c r="AKZ219" s="28"/>
      <c r="ALA219" s="28"/>
      <c r="ALB219" s="28"/>
      <c r="ALC219" s="28"/>
      <c r="ALD219" s="28"/>
      <c r="ALE219" s="28"/>
      <c r="ALF219" s="28"/>
      <c r="ALG219" s="28"/>
      <c r="ALH219" s="28"/>
      <c r="ALI219" s="28"/>
      <c r="ALJ219" s="28"/>
      <c r="ALK219" s="28"/>
      <c r="ALL219" s="28"/>
      <c r="ALM219" s="28"/>
      <c r="ALN219" s="28"/>
      <c r="ALO219" s="28"/>
      <c r="ALP219" s="28"/>
      <c r="ALQ219" s="28"/>
      <c r="ALR219" s="28"/>
      <c r="ALS219" s="28"/>
      <c r="ALT219" s="28"/>
      <c r="ALU219" s="28"/>
      <c r="ALV219" s="28"/>
      <c r="ALW219" s="28"/>
      <c r="ALX219" s="28"/>
      <c r="ALY219" s="28"/>
      <c r="ALZ219" s="28"/>
      <c r="AMA219" s="28"/>
      <c r="AMB219" s="28"/>
      <c r="AMC219" s="28"/>
      <c r="AMD219" s="28"/>
      <c r="AME219" s="28"/>
      <c r="AMF219" s="28"/>
      <c r="AMG219" s="28"/>
      <c r="AMH219" s="28"/>
      <c r="AMI219" s="28"/>
      <c r="AMJ219" s="28"/>
      <c r="AMK219" s="28"/>
      <c r="AML219" s="28"/>
      <c r="AMM219" s="28"/>
      <c r="AMN219" s="28"/>
      <c r="AMO219" s="28"/>
      <c r="AMP219" s="28"/>
      <c r="AMQ219" s="28"/>
      <c r="AMR219" s="28"/>
      <c r="AMS219" s="28"/>
      <c r="AMT219" s="28"/>
      <c r="AMU219" s="28"/>
      <c r="AMV219" s="28"/>
      <c r="AMW219" s="28"/>
      <c r="AMX219" s="28"/>
      <c r="AMY219" s="28"/>
      <c r="AMZ219" s="28"/>
      <c r="ANA219" s="28"/>
      <c r="ANB219" s="28"/>
      <c r="ANC219" s="28"/>
      <c r="AND219" s="28"/>
      <c r="ANE219" s="28"/>
      <c r="ANF219" s="28"/>
      <c r="ANG219" s="28"/>
      <c r="ANH219" s="28"/>
      <c r="ANI219" s="28"/>
      <c r="ANJ219" s="28"/>
      <c r="ANK219" s="28"/>
      <c r="ANL219" s="28"/>
      <c r="ANM219" s="28"/>
      <c r="ANN219" s="28"/>
      <c r="ANO219" s="28"/>
      <c r="ANP219" s="28"/>
      <c r="ANQ219" s="28"/>
      <c r="ANR219" s="28"/>
      <c r="ANS219" s="28"/>
      <c r="ANT219" s="28"/>
      <c r="ANU219" s="28"/>
      <c r="ANV219" s="28"/>
      <c r="ANW219" s="28"/>
      <c r="ANX219" s="28"/>
      <c r="ANY219" s="28"/>
      <c r="ANZ219" s="28"/>
      <c r="AOA219" s="28"/>
      <c r="AOB219" s="28"/>
      <c r="AOC219" s="28"/>
      <c r="AOD219" s="28"/>
      <c r="AOE219" s="28"/>
      <c r="AOF219" s="28"/>
      <c r="AOG219" s="28"/>
      <c r="AOH219" s="28"/>
      <c r="AOI219" s="28"/>
      <c r="AOJ219" s="28"/>
      <c r="AOK219" s="28"/>
      <c r="AOL219" s="28"/>
      <c r="AOM219" s="28"/>
      <c r="AON219" s="28"/>
      <c r="AOO219" s="28"/>
      <c r="AOP219" s="28"/>
      <c r="AOQ219" s="28"/>
      <c r="AOR219" s="28"/>
      <c r="AOS219" s="28"/>
      <c r="AOT219" s="28"/>
      <c r="AOU219" s="28"/>
      <c r="AOV219" s="28"/>
      <c r="AOW219" s="28"/>
      <c r="AOX219" s="28"/>
      <c r="AOY219" s="28"/>
      <c r="AOZ219" s="28"/>
      <c r="APA219" s="28"/>
      <c r="APB219" s="28"/>
      <c r="APC219" s="28"/>
      <c r="APD219" s="28"/>
      <c r="APE219" s="28"/>
      <c r="APF219" s="28"/>
      <c r="APG219" s="28"/>
      <c r="APH219" s="28"/>
      <c r="API219" s="28"/>
      <c r="APJ219" s="28"/>
      <c r="APK219" s="28"/>
      <c r="APL219" s="28"/>
      <c r="APM219" s="28"/>
      <c r="APN219" s="28"/>
      <c r="APO219" s="28"/>
      <c r="APP219" s="28"/>
      <c r="APQ219" s="28"/>
      <c r="APR219" s="28"/>
      <c r="APS219" s="28"/>
      <c r="APT219" s="28"/>
      <c r="APU219" s="28"/>
      <c r="APV219" s="28"/>
      <c r="APW219" s="28"/>
      <c r="APX219" s="28"/>
      <c r="APY219" s="28"/>
      <c r="APZ219" s="28"/>
      <c r="AQA219" s="28"/>
      <c r="AQB219" s="28"/>
      <c r="AQC219" s="28"/>
      <c r="AQD219" s="28"/>
      <c r="AQE219" s="28"/>
      <c r="AQF219" s="28"/>
      <c r="AQG219" s="28"/>
      <c r="AQH219" s="28"/>
      <c r="AQI219" s="28"/>
      <c r="AQJ219" s="28"/>
      <c r="AQK219" s="28"/>
      <c r="AQL219" s="28"/>
      <c r="AQM219" s="28"/>
      <c r="AQN219" s="28"/>
      <c r="AQO219" s="28"/>
      <c r="AQP219" s="28"/>
      <c r="AQQ219" s="28"/>
      <c r="AQR219" s="28"/>
      <c r="AQS219" s="28"/>
      <c r="AQT219" s="28"/>
      <c r="AQU219" s="28"/>
      <c r="AQV219" s="28"/>
      <c r="AQW219" s="28"/>
      <c r="AQX219" s="28"/>
      <c r="AQY219" s="28"/>
      <c r="AQZ219" s="28"/>
      <c r="ARA219" s="28"/>
      <c r="ARB219" s="28"/>
      <c r="ARC219" s="28"/>
      <c r="ARD219" s="28"/>
      <c r="ARE219" s="28"/>
      <c r="ARF219" s="28"/>
      <c r="ARG219" s="28"/>
      <c r="ARH219" s="28"/>
      <c r="ARI219" s="28"/>
      <c r="ARJ219" s="28"/>
      <c r="ARK219" s="28"/>
      <c r="ARL219" s="28"/>
      <c r="ARM219" s="28"/>
      <c r="ARN219" s="28"/>
      <c r="ARO219" s="28"/>
      <c r="ARP219" s="28"/>
      <c r="ARQ219" s="28"/>
      <c r="ARR219" s="28"/>
      <c r="ARS219" s="28"/>
      <c r="ART219" s="28"/>
      <c r="ARU219" s="28"/>
      <c r="ARV219" s="28"/>
      <c r="ARW219" s="28"/>
      <c r="ARX219" s="28"/>
      <c r="ARY219" s="28"/>
      <c r="ARZ219" s="28"/>
      <c r="ASA219" s="28"/>
      <c r="ASB219" s="28"/>
      <c r="ASC219" s="28"/>
      <c r="ASD219" s="28"/>
      <c r="ASE219" s="28"/>
      <c r="ASF219" s="28"/>
      <c r="ASG219" s="28"/>
      <c r="ASH219" s="28"/>
      <c r="ASI219" s="28"/>
      <c r="ASJ219" s="28"/>
      <c r="ASK219" s="28"/>
      <c r="ASL219" s="28"/>
      <c r="ASM219" s="28"/>
      <c r="ASN219" s="28"/>
      <c r="ASO219" s="28"/>
      <c r="ASP219" s="28"/>
      <c r="ASQ219" s="28"/>
      <c r="ASR219" s="28"/>
      <c r="ASS219" s="28"/>
      <c r="AST219" s="28"/>
      <c r="ASU219" s="28"/>
      <c r="ASV219" s="28"/>
      <c r="ASW219" s="28"/>
      <c r="ASX219" s="28"/>
      <c r="ASY219" s="28"/>
      <c r="ASZ219" s="28"/>
      <c r="ATA219" s="28"/>
      <c r="ATB219" s="28"/>
      <c r="ATC219" s="28"/>
      <c r="ATD219" s="28"/>
      <c r="ATE219" s="28"/>
      <c r="ATF219" s="28"/>
      <c r="ATG219" s="28"/>
      <c r="ATH219" s="28"/>
      <c r="ATI219" s="28"/>
      <c r="ATJ219" s="28"/>
      <c r="ATK219" s="28"/>
      <c r="ATL219" s="28"/>
      <c r="ATM219" s="28"/>
      <c r="ATN219" s="28"/>
      <c r="ATO219" s="28"/>
      <c r="ATP219" s="28"/>
      <c r="ATQ219" s="28"/>
      <c r="ATR219" s="28"/>
      <c r="ATS219" s="28"/>
      <c r="ATT219" s="28"/>
      <c r="ATU219" s="28"/>
      <c r="ATV219" s="28"/>
      <c r="ATW219" s="28"/>
      <c r="ATX219" s="28"/>
      <c r="ATY219" s="28"/>
      <c r="ATZ219" s="28"/>
      <c r="AUA219" s="28"/>
      <c r="AUB219" s="28"/>
      <c r="AUC219" s="28"/>
      <c r="AUD219" s="28"/>
      <c r="AUE219" s="28"/>
      <c r="AUF219" s="28"/>
      <c r="AUG219" s="28"/>
      <c r="AUH219" s="28"/>
      <c r="AUI219" s="28"/>
      <c r="AUJ219" s="28"/>
      <c r="AUK219" s="28"/>
      <c r="AUL219" s="28"/>
      <c r="AUM219" s="28"/>
      <c r="AUN219" s="28"/>
      <c r="AUO219" s="28"/>
      <c r="AUP219" s="28"/>
      <c r="AUQ219" s="28"/>
      <c r="AUR219" s="28"/>
      <c r="AUS219" s="28"/>
      <c r="AUT219" s="28"/>
      <c r="AUU219" s="28"/>
      <c r="AUV219" s="28"/>
      <c r="AUW219" s="28"/>
      <c r="AUX219" s="28"/>
      <c r="AUY219" s="28"/>
      <c r="AUZ219" s="28"/>
      <c r="AVA219" s="28"/>
      <c r="AVB219" s="28"/>
      <c r="AVC219" s="28"/>
      <c r="AVD219" s="28"/>
      <c r="AVE219" s="28"/>
      <c r="AVF219" s="28"/>
      <c r="AVG219" s="28"/>
      <c r="AVH219" s="28"/>
      <c r="AVI219" s="28"/>
      <c r="AVJ219" s="28"/>
      <c r="AVK219" s="28"/>
      <c r="AVL219" s="28"/>
      <c r="AVM219" s="28"/>
      <c r="AVN219" s="28"/>
      <c r="AVO219" s="28"/>
      <c r="AVP219" s="28"/>
      <c r="AVQ219" s="28"/>
      <c r="AVR219" s="28"/>
      <c r="AVS219" s="28"/>
      <c r="AVT219" s="28"/>
      <c r="AVU219" s="28"/>
      <c r="AVV219" s="28"/>
      <c r="AVW219" s="28"/>
      <c r="AVX219" s="28"/>
      <c r="AVY219" s="28"/>
      <c r="AVZ219" s="28"/>
      <c r="AWA219" s="28"/>
      <c r="AWB219" s="28"/>
      <c r="AWC219" s="28"/>
      <c r="AWD219" s="28"/>
      <c r="AWE219" s="28"/>
      <c r="AWF219" s="28"/>
      <c r="AWG219" s="28"/>
      <c r="AWH219" s="28"/>
      <c r="AWI219" s="28"/>
      <c r="AWJ219" s="28"/>
      <c r="AWK219" s="28"/>
      <c r="AWL219" s="28"/>
      <c r="AWM219" s="28"/>
      <c r="AWN219" s="28"/>
      <c r="AWO219" s="28"/>
      <c r="AWP219" s="28"/>
      <c r="AWQ219" s="28"/>
      <c r="AWR219" s="28"/>
      <c r="AWS219" s="28"/>
      <c r="AWT219" s="28"/>
      <c r="AWU219" s="28"/>
      <c r="AWV219" s="28"/>
      <c r="AWW219" s="28"/>
      <c r="AWX219" s="28"/>
      <c r="AWY219" s="28"/>
      <c r="AWZ219" s="28"/>
      <c r="AXA219" s="28"/>
      <c r="AXB219" s="28"/>
      <c r="AXC219" s="28"/>
      <c r="AXD219" s="28"/>
      <c r="AXE219" s="28"/>
      <c r="AXF219" s="28"/>
      <c r="AXG219" s="28"/>
      <c r="AXH219" s="28"/>
      <c r="AXI219" s="28"/>
      <c r="AXJ219" s="28"/>
      <c r="AXK219" s="28"/>
      <c r="AXL219" s="28"/>
      <c r="AXM219" s="28"/>
      <c r="AXN219" s="28"/>
      <c r="AXO219" s="28"/>
      <c r="AXP219" s="28"/>
      <c r="AXQ219" s="28"/>
      <c r="AXR219" s="28"/>
      <c r="AXS219" s="28"/>
      <c r="AXT219" s="28"/>
      <c r="AXU219" s="28"/>
      <c r="AXV219" s="28"/>
      <c r="AXW219" s="28"/>
      <c r="AXX219" s="28"/>
      <c r="AXY219" s="28"/>
      <c r="AXZ219" s="28"/>
      <c r="AYA219" s="28"/>
      <c r="AYB219" s="28"/>
      <c r="AYC219" s="28"/>
      <c r="AYD219" s="28"/>
      <c r="AYE219" s="28"/>
      <c r="AYF219" s="28"/>
      <c r="AYG219" s="28"/>
      <c r="AYH219" s="28"/>
      <c r="AYI219" s="28"/>
      <c r="AYJ219" s="28"/>
      <c r="AYK219" s="28"/>
      <c r="AYL219" s="28"/>
      <c r="AYM219" s="28"/>
      <c r="AYN219" s="28"/>
      <c r="AYO219" s="28"/>
      <c r="AYP219" s="28"/>
      <c r="AYQ219" s="28"/>
      <c r="AYR219" s="28"/>
      <c r="AYS219" s="28"/>
      <c r="AYT219" s="28"/>
      <c r="AYU219" s="28"/>
      <c r="AYV219" s="28"/>
      <c r="AYW219" s="28"/>
      <c r="AYX219" s="28"/>
      <c r="AYY219" s="28"/>
      <c r="AYZ219" s="28"/>
      <c r="AZA219" s="28"/>
      <c r="AZB219" s="28"/>
      <c r="AZC219" s="28"/>
      <c r="AZD219" s="28"/>
      <c r="AZE219" s="28"/>
      <c r="AZF219" s="28"/>
      <c r="AZG219" s="28"/>
      <c r="AZH219" s="28"/>
      <c r="AZI219" s="28"/>
      <c r="AZJ219" s="28"/>
      <c r="AZK219" s="28"/>
      <c r="AZL219" s="28"/>
      <c r="AZM219" s="28"/>
      <c r="AZN219" s="28"/>
      <c r="AZO219" s="28"/>
      <c r="AZP219" s="28"/>
      <c r="AZQ219" s="28"/>
      <c r="AZR219" s="28"/>
      <c r="AZS219" s="28"/>
      <c r="AZT219" s="28"/>
      <c r="AZU219" s="28"/>
      <c r="AZV219" s="28"/>
      <c r="AZW219" s="28"/>
      <c r="AZX219" s="28"/>
      <c r="AZY219" s="28"/>
      <c r="AZZ219" s="28"/>
      <c r="BAA219" s="28"/>
      <c r="BAB219" s="28"/>
      <c r="BAC219" s="28"/>
      <c r="BAD219" s="28"/>
      <c r="BAE219" s="28"/>
      <c r="BAF219" s="28"/>
      <c r="BAG219" s="28"/>
      <c r="BAH219" s="28"/>
      <c r="BAI219" s="28"/>
      <c r="BAJ219" s="28"/>
      <c r="BAK219" s="28"/>
      <c r="BAL219" s="28"/>
      <c r="BAM219" s="28"/>
      <c r="BAN219" s="28"/>
      <c r="BAO219" s="28"/>
      <c r="BAP219" s="28"/>
      <c r="BAQ219" s="28"/>
      <c r="BAR219" s="28"/>
      <c r="BAS219" s="28"/>
      <c r="BAT219" s="28"/>
      <c r="BAU219" s="28"/>
      <c r="BAV219" s="28"/>
      <c r="BAW219" s="28"/>
      <c r="BAX219" s="28"/>
      <c r="BAY219" s="28"/>
      <c r="BAZ219" s="28"/>
      <c r="BBA219" s="28"/>
      <c r="BBB219" s="28"/>
      <c r="BBC219" s="28"/>
      <c r="BBD219" s="28"/>
      <c r="BBE219" s="28"/>
      <c r="BBF219" s="28"/>
      <c r="BBG219" s="28"/>
      <c r="BBH219" s="28"/>
      <c r="BBI219" s="28"/>
      <c r="BBJ219" s="28"/>
      <c r="BBK219" s="28"/>
      <c r="BBL219" s="28"/>
      <c r="BBM219" s="28"/>
      <c r="BBN219" s="28"/>
      <c r="BBO219" s="28"/>
      <c r="BBP219" s="28"/>
      <c r="BBQ219" s="28"/>
      <c r="BBR219" s="28"/>
      <c r="BBS219" s="28"/>
      <c r="BBT219" s="28"/>
      <c r="BBU219" s="28"/>
      <c r="BBV219" s="28"/>
      <c r="BBW219" s="28"/>
      <c r="BBX219" s="28"/>
      <c r="BBY219" s="28"/>
      <c r="BBZ219" s="28"/>
      <c r="BCA219" s="28"/>
      <c r="BCB219" s="28"/>
      <c r="BCC219" s="28"/>
      <c r="BCD219" s="28"/>
      <c r="BCE219" s="28"/>
      <c r="BCF219" s="28"/>
      <c r="BCG219" s="28"/>
      <c r="BCH219" s="28"/>
      <c r="BCI219" s="28"/>
      <c r="BCJ219" s="28"/>
      <c r="BCK219" s="28"/>
      <c r="BCL219" s="28"/>
      <c r="BCM219" s="28"/>
      <c r="BCN219" s="28"/>
      <c r="BCO219" s="28"/>
      <c r="BCP219" s="28"/>
      <c r="BCQ219" s="28"/>
      <c r="BCR219" s="28"/>
      <c r="BCS219" s="28"/>
      <c r="BCT219" s="28"/>
      <c r="BCU219" s="28"/>
      <c r="BCV219" s="28"/>
      <c r="BCW219" s="28"/>
      <c r="BCX219" s="28"/>
      <c r="BCY219" s="28"/>
      <c r="BCZ219" s="28"/>
      <c r="BDA219" s="28"/>
      <c r="BDB219" s="28"/>
      <c r="BDC219" s="28"/>
      <c r="BDD219" s="28"/>
      <c r="BDE219" s="28"/>
      <c r="BDF219" s="28"/>
      <c r="BDG219" s="28"/>
      <c r="BDH219" s="28"/>
      <c r="BDI219" s="28"/>
      <c r="BDJ219" s="28"/>
      <c r="BDK219" s="28"/>
      <c r="BDL219" s="28"/>
      <c r="BDM219" s="28"/>
      <c r="BDN219" s="28"/>
      <c r="BDO219" s="28"/>
      <c r="BDP219" s="28"/>
      <c r="BDQ219" s="28"/>
      <c r="BDR219" s="28"/>
      <c r="BDS219" s="28"/>
      <c r="BDT219" s="28"/>
      <c r="BDU219" s="28"/>
      <c r="BDV219" s="28"/>
      <c r="BDW219" s="28"/>
      <c r="BDX219" s="28"/>
      <c r="BDY219" s="28"/>
      <c r="BDZ219" s="28"/>
      <c r="BEA219" s="28"/>
      <c r="BEB219" s="28"/>
      <c r="BEC219" s="28"/>
      <c r="BED219" s="28"/>
      <c r="BEE219" s="28"/>
      <c r="BEF219" s="28"/>
      <c r="BEG219" s="28"/>
      <c r="BEH219" s="28"/>
      <c r="BEI219" s="28"/>
      <c r="BEJ219" s="28"/>
      <c r="BEK219" s="28"/>
      <c r="BEL219" s="28"/>
      <c r="BEM219" s="28"/>
      <c r="BEN219" s="28"/>
      <c r="BEO219" s="28"/>
      <c r="BEP219" s="28"/>
      <c r="BEQ219" s="28"/>
      <c r="BER219" s="28"/>
      <c r="BES219" s="28"/>
      <c r="BET219" s="28"/>
      <c r="BEU219" s="28"/>
      <c r="BEV219" s="28"/>
      <c r="BEW219" s="28"/>
      <c r="BEX219" s="28"/>
      <c r="BEY219" s="28"/>
      <c r="BEZ219" s="28"/>
      <c r="BFA219" s="28"/>
      <c r="BFB219" s="28"/>
      <c r="BFC219" s="28"/>
      <c r="BFD219" s="28"/>
      <c r="BFE219" s="28"/>
      <c r="BFF219" s="28"/>
      <c r="BFG219" s="28"/>
      <c r="BFH219" s="28"/>
      <c r="BFI219" s="28"/>
      <c r="BFJ219" s="28"/>
      <c r="BFK219" s="28"/>
      <c r="BFL219" s="28"/>
      <c r="BFM219" s="28"/>
      <c r="BFN219" s="28"/>
      <c r="BFO219" s="28"/>
      <c r="BFP219" s="28"/>
      <c r="BFQ219" s="28"/>
      <c r="BFR219" s="28"/>
      <c r="BFS219" s="28"/>
      <c r="BFT219" s="28"/>
      <c r="BFU219" s="28"/>
      <c r="BFV219" s="28"/>
      <c r="BFW219" s="28"/>
      <c r="BFX219" s="28"/>
      <c r="BFY219" s="28"/>
      <c r="BFZ219" s="28"/>
      <c r="BGA219" s="28"/>
      <c r="BGB219" s="28"/>
      <c r="BGC219" s="28"/>
      <c r="BGD219" s="28"/>
      <c r="BGE219" s="28"/>
      <c r="BGF219" s="28"/>
      <c r="BGG219" s="28"/>
      <c r="BGH219" s="28"/>
      <c r="BGI219" s="28"/>
      <c r="BGJ219" s="28"/>
      <c r="BGK219" s="28"/>
      <c r="BGL219" s="28"/>
      <c r="BGM219" s="28"/>
      <c r="BGN219" s="28"/>
      <c r="BGO219" s="28"/>
      <c r="BGP219" s="28"/>
      <c r="BGQ219" s="28"/>
      <c r="BGR219" s="28"/>
      <c r="BGS219" s="28"/>
      <c r="BGT219" s="28"/>
      <c r="BGU219" s="28"/>
      <c r="BGV219" s="28"/>
      <c r="BGW219" s="28"/>
      <c r="BGX219" s="28"/>
      <c r="BGY219" s="28"/>
      <c r="BGZ219" s="28"/>
      <c r="BHA219" s="28"/>
      <c r="BHB219" s="28"/>
      <c r="BHC219" s="28"/>
      <c r="BHD219" s="28"/>
      <c r="BHE219" s="28"/>
      <c r="BHF219" s="28"/>
      <c r="BHG219" s="28"/>
      <c r="BHH219" s="28"/>
      <c r="BHI219" s="28"/>
      <c r="BHJ219" s="28"/>
      <c r="BHK219" s="28"/>
      <c r="BHL219" s="28"/>
      <c r="BHM219" s="28"/>
      <c r="BHN219" s="28"/>
      <c r="BHO219" s="28"/>
      <c r="BHP219" s="28"/>
      <c r="BHQ219" s="28"/>
      <c r="BHR219" s="28"/>
      <c r="BHS219" s="28"/>
      <c r="BHT219" s="28"/>
      <c r="BHU219" s="28"/>
      <c r="BHV219" s="28"/>
      <c r="BHW219" s="28"/>
      <c r="BHX219" s="28"/>
      <c r="BHY219" s="28"/>
      <c r="BHZ219" s="28"/>
      <c r="BIA219" s="28"/>
      <c r="BIB219" s="28"/>
      <c r="BIC219" s="28"/>
      <c r="BID219" s="28"/>
      <c r="BIE219" s="28"/>
      <c r="BIF219" s="28"/>
      <c r="BIG219" s="28"/>
      <c r="BIH219" s="28"/>
      <c r="BII219" s="28"/>
      <c r="BIJ219" s="28"/>
      <c r="BIK219" s="28"/>
      <c r="BIL219" s="28"/>
      <c r="BIM219" s="28"/>
      <c r="BIN219" s="28"/>
      <c r="BIO219" s="28"/>
      <c r="BIP219" s="28"/>
      <c r="BIQ219" s="28"/>
      <c r="BIR219" s="28"/>
      <c r="BIS219" s="28"/>
      <c r="BIT219" s="28"/>
      <c r="BIU219" s="28"/>
      <c r="BIV219" s="28"/>
      <c r="BIW219" s="28"/>
      <c r="BIX219" s="28"/>
      <c r="BIY219" s="28"/>
      <c r="BIZ219" s="28"/>
      <c r="BJA219" s="28"/>
      <c r="BJB219" s="28"/>
      <c r="BJC219" s="28"/>
      <c r="BJD219" s="28"/>
      <c r="BJE219" s="28"/>
      <c r="BJF219" s="28"/>
      <c r="BJG219" s="28"/>
      <c r="BJH219" s="28"/>
      <c r="BJI219" s="28"/>
      <c r="BJJ219" s="28"/>
      <c r="BJK219" s="28"/>
      <c r="BJL219" s="28"/>
      <c r="BJM219" s="28"/>
      <c r="BJN219" s="28"/>
      <c r="BJO219" s="28"/>
      <c r="BJP219" s="28"/>
      <c r="BJQ219" s="28"/>
      <c r="BJR219" s="28"/>
      <c r="BJS219" s="28"/>
      <c r="BJT219" s="28"/>
      <c r="BJU219" s="28"/>
      <c r="BJV219" s="28"/>
      <c r="BJW219" s="28"/>
      <c r="BJX219" s="28"/>
      <c r="BJY219" s="28"/>
      <c r="BJZ219" s="28"/>
      <c r="BKA219" s="28"/>
      <c r="BKB219" s="28"/>
      <c r="BKC219" s="28"/>
      <c r="BKD219" s="28"/>
      <c r="BKE219" s="28"/>
      <c r="BKF219" s="28"/>
      <c r="BKG219" s="28"/>
      <c r="BKH219" s="28"/>
      <c r="BKI219" s="28"/>
      <c r="BKJ219" s="28"/>
      <c r="BKK219" s="28"/>
      <c r="BKL219" s="28"/>
      <c r="BKM219" s="28"/>
      <c r="BKN219" s="28"/>
      <c r="BKO219" s="28"/>
      <c r="BKP219" s="28"/>
      <c r="BKQ219" s="28"/>
      <c r="BKR219" s="28"/>
      <c r="BKS219" s="28"/>
      <c r="BKT219" s="28"/>
      <c r="BKU219" s="28"/>
      <c r="BKV219" s="28"/>
      <c r="BKW219" s="28"/>
      <c r="BKX219" s="28"/>
      <c r="BKY219" s="28"/>
      <c r="BKZ219" s="28"/>
      <c r="BLA219" s="28"/>
      <c r="BLB219" s="28"/>
      <c r="BLC219" s="28"/>
      <c r="BLD219" s="28"/>
      <c r="BLE219" s="28"/>
      <c r="BLF219" s="28"/>
      <c r="BLG219" s="28"/>
      <c r="BLH219" s="28"/>
      <c r="BLI219" s="28"/>
      <c r="BLJ219" s="28"/>
      <c r="BLK219" s="28"/>
      <c r="BLL219" s="28"/>
      <c r="BLM219" s="28"/>
      <c r="BLN219" s="28"/>
      <c r="BLO219" s="28"/>
      <c r="BLP219" s="28"/>
      <c r="BLQ219" s="28"/>
      <c r="BLR219" s="28"/>
      <c r="BLS219" s="28"/>
      <c r="BLT219" s="28"/>
      <c r="BLU219" s="28"/>
      <c r="BLV219" s="28"/>
      <c r="BLW219" s="28"/>
      <c r="BLX219" s="28"/>
      <c r="BLY219" s="28"/>
      <c r="BLZ219" s="28"/>
      <c r="BMA219" s="28"/>
      <c r="BMB219" s="28"/>
      <c r="BMC219" s="28"/>
      <c r="BMD219" s="28"/>
      <c r="BME219" s="28"/>
      <c r="BMF219" s="28"/>
      <c r="BMG219" s="28"/>
      <c r="BMH219" s="28"/>
      <c r="BMI219" s="28"/>
      <c r="BMJ219" s="28"/>
      <c r="BMK219" s="28"/>
      <c r="BML219" s="28"/>
      <c r="BMM219" s="28"/>
      <c r="BMN219" s="28"/>
      <c r="BMO219" s="28"/>
      <c r="BMP219" s="28"/>
      <c r="BMQ219" s="28"/>
      <c r="BMR219" s="28"/>
      <c r="BMS219" s="28"/>
      <c r="BMT219" s="28"/>
      <c r="BMU219" s="28"/>
      <c r="BMV219" s="28"/>
      <c r="BMW219" s="28"/>
      <c r="BMX219" s="28"/>
      <c r="BMY219" s="28"/>
      <c r="BMZ219" s="28"/>
      <c r="BNA219" s="28"/>
      <c r="BNB219" s="28"/>
      <c r="BNC219" s="28"/>
      <c r="BND219" s="28"/>
      <c r="BNE219" s="28"/>
      <c r="BNF219" s="28"/>
      <c r="BNG219" s="28"/>
      <c r="BNH219" s="28"/>
      <c r="BNI219" s="28"/>
      <c r="BNJ219" s="28"/>
      <c r="BNK219" s="28"/>
      <c r="BNL219" s="28"/>
      <c r="BNM219" s="28"/>
      <c r="BNN219" s="28"/>
      <c r="BNO219" s="28"/>
      <c r="BNP219" s="28"/>
      <c r="BNQ219" s="28"/>
      <c r="BNR219" s="28"/>
      <c r="BNS219" s="28"/>
      <c r="BNT219" s="28"/>
      <c r="BNU219" s="28"/>
      <c r="BNV219" s="28"/>
      <c r="BNW219" s="28"/>
      <c r="BNX219" s="28"/>
      <c r="BNY219" s="28"/>
      <c r="BNZ219" s="28"/>
      <c r="BOA219" s="28"/>
      <c r="BOB219" s="28"/>
      <c r="BOC219" s="28"/>
      <c r="BOD219" s="28"/>
      <c r="BOE219" s="28"/>
      <c r="BOF219" s="28"/>
      <c r="BOG219" s="28"/>
      <c r="BOH219" s="28"/>
      <c r="BOI219" s="28"/>
      <c r="BOJ219" s="28"/>
      <c r="BOK219" s="28"/>
      <c r="BOL219" s="28"/>
      <c r="BOM219" s="28"/>
      <c r="BON219" s="28"/>
      <c r="BOO219" s="28"/>
      <c r="BOP219" s="28"/>
      <c r="BOQ219" s="28"/>
      <c r="BOR219" s="28"/>
      <c r="BOS219" s="28"/>
      <c r="BOT219" s="28"/>
      <c r="BOU219" s="28"/>
      <c r="BOV219" s="28"/>
      <c r="BOW219" s="28"/>
      <c r="BOX219" s="28"/>
      <c r="BOY219" s="28"/>
      <c r="BOZ219" s="28"/>
      <c r="BPA219" s="28"/>
      <c r="BPB219" s="28"/>
      <c r="BPC219" s="28"/>
      <c r="BPD219" s="28"/>
      <c r="BPE219" s="28"/>
      <c r="BPF219" s="28"/>
      <c r="BPG219" s="28"/>
      <c r="BPH219" s="28"/>
      <c r="BPI219" s="28"/>
      <c r="BPJ219" s="28"/>
      <c r="BPK219" s="28"/>
      <c r="BPL219" s="28"/>
      <c r="BPM219" s="28"/>
      <c r="BPN219" s="28"/>
      <c r="BPO219" s="28"/>
      <c r="BPP219" s="28"/>
      <c r="BPQ219" s="28"/>
      <c r="BPR219" s="28"/>
      <c r="BPS219" s="28"/>
      <c r="BPT219" s="28"/>
      <c r="BPU219" s="28"/>
      <c r="BPV219" s="28"/>
      <c r="BPW219" s="28"/>
      <c r="BPX219" s="28"/>
      <c r="BPY219" s="28"/>
      <c r="BPZ219" s="28"/>
      <c r="BQA219" s="28"/>
      <c r="BQB219" s="28"/>
      <c r="BQC219" s="28"/>
      <c r="BQD219" s="28"/>
      <c r="BQE219" s="28"/>
      <c r="BQF219" s="28"/>
      <c r="BQG219" s="28"/>
      <c r="BQH219" s="28"/>
      <c r="BQI219" s="28"/>
      <c r="BQJ219" s="28"/>
      <c r="BQK219" s="28"/>
      <c r="BQL219" s="28"/>
      <c r="BQM219" s="28"/>
      <c r="BQN219" s="28"/>
      <c r="BQO219" s="28"/>
      <c r="BQP219" s="28"/>
      <c r="BQQ219" s="28"/>
      <c r="BQR219" s="28"/>
      <c r="BQS219" s="28"/>
      <c r="BQT219" s="28"/>
      <c r="BQU219" s="28"/>
      <c r="BQV219" s="28"/>
      <c r="BQW219" s="28"/>
      <c r="BQX219" s="28"/>
      <c r="BQY219" s="28"/>
      <c r="BQZ219" s="28"/>
      <c r="BRA219" s="28"/>
      <c r="BRB219" s="28"/>
      <c r="BRC219" s="28"/>
      <c r="BRD219" s="28"/>
      <c r="BRE219" s="28"/>
      <c r="BRF219" s="28"/>
      <c r="BRG219" s="28"/>
      <c r="BRH219" s="28"/>
      <c r="BRI219" s="28"/>
      <c r="BRJ219" s="28"/>
      <c r="BRK219" s="28"/>
      <c r="BRL219" s="28"/>
      <c r="BRM219" s="28"/>
      <c r="BRN219" s="28"/>
      <c r="BRO219" s="28"/>
      <c r="BRP219" s="28"/>
      <c r="BRQ219" s="28"/>
      <c r="BRR219" s="28"/>
      <c r="BRS219" s="28"/>
      <c r="BRT219" s="28"/>
      <c r="BRU219" s="28"/>
      <c r="BRV219" s="28"/>
      <c r="BRW219" s="28"/>
      <c r="BRX219" s="28"/>
      <c r="BRY219" s="28"/>
      <c r="BRZ219" s="28"/>
      <c r="BSA219" s="28"/>
      <c r="BSB219" s="28"/>
      <c r="BSC219" s="28"/>
      <c r="BSD219" s="28"/>
      <c r="BSE219" s="28"/>
      <c r="BSF219" s="28"/>
      <c r="BSG219" s="28"/>
      <c r="BSH219" s="28"/>
      <c r="BSI219" s="28"/>
      <c r="BSJ219" s="28"/>
      <c r="BSK219" s="28"/>
      <c r="BSL219" s="28"/>
      <c r="BSM219" s="28"/>
      <c r="BSN219" s="28"/>
      <c r="BSO219" s="28"/>
      <c r="BSP219" s="28"/>
      <c r="BSQ219" s="28"/>
      <c r="BSR219" s="28"/>
      <c r="BSS219" s="28"/>
      <c r="BST219" s="28"/>
      <c r="BSU219" s="28"/>
      <c r="BSV219" s="28"/>
      <c r="BSW219" s="28"/>
      <c r="BSX219" s="28"/>
      <c r="BSY219" s="28"/>
      <c r="BSZ219" s="28"/>
      <c r="BTA219" s="28"/>
      <c r="BTB219" s="28"/>
      <c r="BTC219" s="28"/>
      <c r="BTD219" s="28"/>
      <c r="BTE219" s="28"/>
      <c r="BTF219" s="28"/>
      <c r="BTG219" s="28"/>
      <c r="BTH219" s="28"/>
      <c r="BTI219" s="28"/>
      <c r="BTJ219" s="28"/>
      <c r="BTK219" s="28"/>
      <c r="BTL219" s="28"/>
      <c r="BTM219" s="28"/>
      <c r="BTN219" s="28"/>
      <c r="BTO219" s="28"/>
      <c r="BTP219" s="28"/>
      <c r="BTQ219" s="28"/>
      <c r="BTR219" s="28"/>
      <c r="BTS219" s="28"/>
      <c r="BTT219" s="28"/>
      <c r="BTU219" s="28"/>
      <c r="BTV219" s="28"/>
      <c r="BTW219" s="28"/>
      <c r="BTX219" s="28"/>
      <c r="BTY219" s="28"/>
      <c r="BTZ219" s="28"/>
      <c r="BUA219" s="28"/>
      <c r="BUB219" s="28"/>
      <c r="BUC219" s="28"/>
      <c r="BUD219" s="28"/>
      <c r="BUE219" s="28"/>
      <c r="BUF219" s="28"/>
      <c r="BUG219" s="28"/>
      <c r="BUH219" s="28"/>
      <c r="BUI219" s="28"/>
      <c r="BUJ219" s="28"/>
      <c r="BUK219" s="28"/>
      <c r="BUL219" s="28"/>
      <c r="BUM219" s="28"/>
      <c r="BUN219" s="28"/>
      <c r="BUO219" s="28"/>
      <c r="BUP219" s="28"/>
      <c r="BUQ219" s="28"/>
      <c r="BUR219" s="28"/>
      <c r="BUS219" s="28"/>
      <c r="BUT219" s="28"/>
      <c r="BUU219" s="28"/>
      <c r="BUV219" s="28"/>
      <c r="BUW219" s="28"/>
      <c r="BUX219" s="28"/>
      <c r="BUY219" s="28"/>
      <c r="BUZ219" s="28"/>
      <c r="BVA219" s="28"/>
      <c r="BVB219" s="28"/>
      <c r="BVC219" s="28"/>
      <c r="BVD219" s="28"/>
      <c r="BVE219" s="28"/>
      <c r="BVF219" s="28"/>
      <c r="BVG219" s="28"/>
      <c r="BVH219" s="28"/>
      <c r="BVI219" s="28"/>
      <c r="BVJ219" s="28"/>
      <c r="BVK219" s="28"/>
      <c r="BVL219" s="28"/>
      <c r="BVM219" s="28"/>
      <c r="BVN219" s="28"/>
      <c r="BVO219" s="28"/>
      <c r="BVP219" s="28"/>
      <c r="BVQ219" s="28"/>
      <c r="BVR219" s="28"/>
      <c r="BVS219" s="28"/>
      <c r="BVT219" s="28"/>
      <c r="BVU219" s="28"/>
      <c r="BVV219" s="28"/>
      <c r="BVW219" s="28"/>
      <c r="BVX219" s="28"/>
      <c r="BVY219" s="28"/>
      <c r="BVZ219" s="28"/>
      <c r="BWA219" s="28"/>
      <c r="BWB219" s="28"/>
      <c r="BWC219" s="28"/>
      <c r="BWD219" s="28"/>
      <c r="BWE219" s="28"/>
      <c r="BWF219" s="28"/>
      <c r="BWG219" s="28"/>
      <c r="BWH219" s="28"/>
      <c r="BWI219" s="28"/>
      <c r="BWJ219" s="28"/>
      <c r="BWK219" s="28"/>
      <c r="BWL219" s="28"/>
      <c r="BWM219" s="28"/>
      <c r="BWN219" s="28"/>
      <c r="BWO219" s="28"/>
      <c r="BWP219" s="28"/>
      <c r="BWQ219" s="28"/>
      <c r="BWR219" s="28"/>
      <c r="BWS219" s="28"/>
      <c r="BWT219" s="28"/>
      <c r="BWU219" s="28"/>
      <c r="BWV219" s="28"/>
      <c r="BWW219" s="28"/>
      <c r="BWX219" s="28"/>
      <c r="BWY219" s="28"/>
      <c r="BWZ219" s="28"/>
      <c r="BXA219" s="28"/>
      <c r="BXB219" s="28"/>
      <c r="BXC219" s="28"/>
      <c r="BXD219" s="28"/>
      <c r="BXE219" s="28"/>
      <c r="BXF219" s="28"/>
      <c r="BXG219" s="28"/>
      <c r="BXH219" s="28"/>
      <c r="BXI219" s="28"/>
      <c r="BXJ219" s="28"/>
      <c r="BXK219" s="28"/>
      <c r="BXL219" s="28"/>
      <c r="BXM219" s="28"/>
      <c r="BXN219" s="28"/>
      <c r="BXO219" s="28"/>
      <c r="BXP219" s="28"/>
      <c r="BXQ219" s="28"/>
      <c r="BXR219" s="28"/>
      <c r="BXS219" s="28"/>
      <c r="BXT219" s="28"/>
      <c r="BXU219" s="28"/>
      <c r="BXV219" s="28"/>
      <c r="BXW219" s="28"/>
      <c r="BXX219" s="28"/>
      <c r="BXY219" s="28"/>
      <c r="BXZ219" s="28"/>
      <c r="BYA219" s="28"/>
      <c r="BYB219" s="28"/>
      <c r="BYC219" s="28"/>
      <c r="BYD219" s="28"/>
      <c r="BYE219" s="28"/>
      <c r="BYF219" s="28"/>
      <c r="BYG219" s="28"/>
      <c r="BYH219" s="28"/>
      <c r="BYI219" s="28"/>
      <c r="BYJ219" s="28"/>
      <c r="BYK219" s="28"/>
      <c r="BYL219" s="28"/>
      <c r="BYM219" s="28"/>
      <c r="BYN219" s="28"/>
      <c r="BYO219" s="28"/>
      <c r="BYP219" s="28"/>
      <c r="BYQ219" s="28"/>
      <c r="BYR219" s="28"/>
      <c r="BYS219" s="28"/>
      <c r="BYT219" s="28"/>
      <c r="BYU219" s="28"/>
      <c r="BYV219" s="28"/>
      <c r="BYW219" s="28"/>
      <c r="BYX219" s="28"/>
      <c r="BYY219" s="28"/>
      <c r="BYZ219" s="28"/>
      <c r="BZA219" s="28"/>
      <c r="BZB219" s="28"/>
      <c r="BZC219" s="28"/>
      <c r="BZD219" s="28"/>
      <c r="BZE219" s="28"/>
      <c r="BZF219" s="28"/>
      <c r="BZG219" s="28"/>
      <c r="BZH219" s="28"/>
      <c r="BZI219" s="28"/>
      <c r="BZJ219" s="28"/>
      <c r="BZK219" s="28"/>
      <c r="BZL219" s="28"/>
      <c r="BZM219" s="28"/>
      <c r="BZN219" s="28"/>
      <c r="BZO219" s="28"/>
      <c r="BZP219" s="28"/>
      <c r="BZQ219" s="28"/>
      <c r="BZR219" s="28"/>
      <c r="BZS219" s="28"/>
      <c r="BZT219" s="28"/>
      <c r="BZU219" s="28"/>
      <c r="BZV219" s="28"/>
      <c r="BZW219" s="28"/>
      <c r="BZX219" s="28"/>
      <c r="BZY219" s="28"/>
      <c r="BZZ219" s="28"/>
      <c r="CAA219" s="28"/>
      <c r="CAB219" s="28"/>
      <c r="CAC219" s="28"/>
      <c r="CAD219" s="28"/>
      <c r="CAE219" s="28"/>
      <c r="CAF219" s="28"/>
      <c r="CAG219" s="28"/>
      <c r="CAH219" s="28"/>
      <c r="CAI219" s="28"/>
      <c r="CAJ219" s="28"/>
      <c r="CAK219" s="28"/>
      <c r="CAL219" s="28"/>
      <c r="CAM219" s="28"/>
      <c r="CAN219" s="28"/>
      <c r="CAO219" s="28"/>
      <c r="CAP219" s="28"/>
      <c r="CAQ219" s="28"/>
      <c r="CAR219" s="28"/>
      <c r="CAS219" s="28"/>
      <c r="CAT219" s="28"/>
      <c r="CAU219" s="28"/>
      <c r="CAV219" s="28"/>
      <c r="CAW219" s="28"/>
      <c r="CAX219" s="28"/>
      <c r="CAY219" s="28"/>
      <c r="CAZ219" s="28"/>
      <c r="CBA219" s="28"/>
      <c r="CBB219" s="28"/>
      <c r="CBC219" s="28"/>
      <c r="CBD219" s="28"/>
      <c r="CBE219" s="28"/>
      <c r="CBF219" s="28"/>
      <c r="CBG219" s="28"/>
      <c r="CBH219" s="28"/>
      <c r="CBI219" s="28"/>
      <c r="CBJ219" s="28"/>
      <c r="CBK219" s="28"/>
      <c r="CBL219" s="28"/>
      <c r="CBM219" s="28"/>
      <c r="CBN219" s="28"/>
      <c r="CBO219" s="28"/>
      <c r="CBP219" s="28"/>
      <c r="CBQ219" s="28"/>
      <c r="CBR219" s="28"/>
      <c r="CBS219" s="28"/>
      <c r="CBT219" s="28"/>
      <c r="CBU219" s="28"/>
      <c r="CBV219" s="28"/>
      <c r="CBW219" s="28"/>
      <c r="CBX219" s="28"/>
      <c r="CBY219" s="28"/>
      <c r="CBZ219" s="28"/>
      <c r="CCA219" s="28"/>
      <c r="CCB219" s="28"/>
      <c r="CCC219" s="28"/>
      <c r="CCD219" s="28"/>
      <c r="CCE219" s="28"/>
      <c r="CCF219" s="28"/>
      <c r="CCG219" s="28"/>
      <c r="CCH219" s="28"/>
      <c r="CCI219" s="28"/>
      <c r="CCJ219" s="28"/>
      <c r="CCK219" s="28"/>
      <c r="CCL219" s="28"/>
      <c r="CCM219" s="28"/>
      <c r="CCN219" s="28"/>
      <c r="CCO219" s="28"/>
      <c r="CCP219" s="28"/>
      <c r="CCQ219" s="28"/>
      <c r="CCR219" s="28"/>
      <c r="CCS219" s="28"/>
      <c r="CCT219" s="28"/>
      <c r="CCU219" s="28"/>
      <c r="CCV219" s="28"/>
      <c r="CCW219" s="28"/>
      <c r="CCX219" s="28"/>
      <c r="CCY219" s="28"/>
      <c r="CCZ219" s="28"/>
      <c r="CDA219" s="28"/>
      <c r="CDB219" s="28"/>
      <c r="CDC219" s="28"/>
      <c r="CDD219" s="28"/>
      <c r="CDE219" s="28"/>
      <c r="CDF219" s="28"/>
      <c r="CDG219" s="28"/>
      <c r="CDH219" s="28"/>
      <c r="CDI219" s="28"/>
      <c r="CDJ219" s="28"/>
      <c r="CDK219" s="28"/>
      <c r="CDL219" s="28"/>
      <c r="CDM219" s="28"/>
      <c r="CDN219" s="28"/>
      <c r="CDO219" s="28"/>
      <c r="CDP219" s="28"/>
      <c r="CDQ219" s="28"/>
      <c r="CDR219" s="28"/>
      <c r="CDS219" s="28"/>
      <c r="CDT219" s="28"/>
      <c r="CDU219" s="28"/>
      <c r="CDV219" s="28"/>
      <c r="CDW219" s="28"/>
      <c r="CDX219" s="28"/>
      <c r="CDY219" s="28"/>
      <c r="CDZ219" s="28"/>
      <c r="CEA219" s="28"/>
      <c r="CEB219" s="28"/>
      <c r="CEC219" s="28"/>
      <c r="CED219" s="28"/>
      <c r="CEE219" s="28"/>
      <c r="CEF219" s="28"/>
      <c r="CEG219" s="28"/>
      <c r="CEH219" s="28"/>
      <c r="CEI219" s="28"/>
      <c r="CEJ219" s="28"/>
      <c r="CEK219" s="28"/>
      <c r="CEL219" s="28"/>
      <c r="CEM219" s="28"/>
      <c r="CEN219" s="28"/>
      <c r="CEO219" s="28"/>
      <c r="CEP219" s="28"/>
      <c r="CEQ219" s="28"/>
      <c r="CER219" s="28"/>
      <c r="CES219" s="28"/>
      <c r="CET219" s="28"/>
      <c r="CEU219" s="28"/>
      <c r="CEV219" s="28"/>
      <c r="CEW219" s="28"/>
      <c r="CEX219" s="28"/>
      <c r="CEY219" s="28"/>
      <c r="CEZ219" s="28"/>
      <c r="CFA219" s="28"/>
      <c r="CFB219" s="28"/>
      <c r="CFC219" s="28"/>
      <c r="CFD219" s="28"/>
      <c r="CFE219" s="28"/>
      <c r="CFF219" s="28"/>
      <c r="CFG219" s="28"/>
      <c r="CFH219" s="28"/>
      <c r="CFI219" s="28"/>
      <c r="CFJ219" s="28"/>
      <c r="CFK219" s="28"/>
      <c r="CFL219" s="28"/>
      <c r="CFM219" s="28"/>
      <c r="CFN219" s="28"/>
      <c r="CFO219" s="28"/>
      <c r="CFP219" s="28"/>
      <c r="CFQ219" s="28"/>
      <c r="CFR219" s="28"/>
      <c r="CFS219" s="28"/>
      <c r="CFT219" s="28"/>
      <c r="CFU219" s="28"/>
      <c r="CFV219" s="28"/>
      <c r="CFW219" s="28"/>
      <c r="CFX219" s="28"/>
      <c r="CFY219" s="28"/>
      <c r="CFZ219" s="28"/>
      <c r="CGA219" s="28"/>
      <c r="CGB219" s="28"/>
      <c r="CGC219" s="28"/>
      <c r="CGD219" s="28"/>
      <c r="CGE219" s="28"/>
      <c r="CGF219" s="28"/>
      <c r="CGG219" s="28"/>
      <c r="CGH219" s="28"/>
      <c r="CGI219" s="28"/>
      <c r="CGJ219" s="28"/>
      <c r="CGK219" s="28"/>
      <c r="CGL219" s="28"/>
      <c r="CGM219" s="28"/>
      <c r="CGN219" s="28"/>
      <c r="CGO219" s="28"/>
      <c r="CGP219" s="28"/>
      <c r="CGQ219" s="28"/>
      <c r="CGR219" s="28"/>
      <c r="CGS219" s="28"/>
      <c r="CGT219" s="28"/>
      <c r="CGU219" s="28"/>
      <c r="CGV219" s="28"/>
      <c r="CGW219" s="28"/>
      <c r="CGX219" s="28"/>
      <c r="CGY219" s="28"/>
      <c r="CGZ219" s="28"/>
      <c r="CHA219" s="28"/>
      <c r="CHB219" s="28"/>
      <c r="CHC219" s="28"/>
      <c r="CHD219" s="28"/>
      <c r="CHE219" s="28"/>
      <c r="CHF219" s="28"/>
      <c r="CHG219" s="28"/>
      <c r="CHH219" s="28"/>
      <c r="CHI219" s="28"/>
      <c r="CHJ219" s="28"/>
      <c r="CHK219" s="28"/>
      <c r="CHL219" s="28"/>
      <c r="CHM219" s="28"/>
      <c r="CHN219" s="28"/>
      <c r="CHO219" s="28"/>
      <c r="CHP219" s="28"/>
      <c r="CHQ219" s="28"/>
      <c r="CHR219" s="28"/>
      <c r="CHS219" s="28"/>
      <c r="CHT219" s="28"/>
      <c r="CHU219" s="28"/>
      <c r="CHV219" s="28"/>
      <c r="CHW219" s="28"/>
      <c r="CHX219" s="28"/>
      <c r="CHY219" s="28"/>
      <c r="CHZ219" s="28"/>
      <c r="CIA219" s="28"/>
      <c r="CIB219" s="28"/>
      <c r="CIC219" s="28"/>
      <c r="CID219" s="28"/>
      <c r="CIE219" s="28"/>
      <c r="CIF219" s="28"/>
      <c r="CIG219" s="28"/>
      <c r="CIH219" s="28"/>
      <c r="CII219" s="28"/>
      <c r="CIJ219" s="28"/>
      <c r="CIK219" s="28"/>
      <c r="CIL219" s="28"/>
      <c r="CIM219" s="28"/>
      <c r="CIN219" s="28"/>
      <c r="CIO219" s="28"/>
      <c r="CIP219" s="28"/>
      <c r="CIQ219" s="28"/>
      <c r="CIR219" s="28"/>
      <c r="CIS219" s="28"/>
      <c r="CIT219" s="28"/>
      <c r="CIU219" s="28"/>
      <c r="CIV219" s="28"/>
      <c r="CIW219" s="28"/>
      <c r="CIX219" s="28"/>
      <c r="CIY219" s="28"/>
      <c r="CIZ219" s="28"/>
      <c r="CJA219" s="28"/>
      <c r="CJB219" s="28"/>
      <c r="CJC219" s="28"/>
      <c r="CJD219" s="28"/>
      <c r="CJE219" s="28"/>
      <c r="CJF219" s="28"/>
      <c r="CJG219" s="28"/>
      <c r="CJH219" s="28"/>
      <c r="CJI219" s="28"/>
      <c r="CJJ219" s="28"/>
      <c r="CJK219" s="28"/>
      <c r="CJL219" s="28"/>
      <c r="CJM219" s="28"/>
      <c r="CJN219" s="28"/>
      <c r="CJO219" s="28"/>
      <c r="CJP219" s="28"/>
      <c r="CJQ219" s="28"/>
      <c r="CJR219" s="28"/>
      <c r="CJS219" s="28"/>
      <c r="CJT219" s="28"/>
      <c r="CJU219" s="28"/>
      <c r="CJV219" s="28"/>
      <c r="CJW219" s="28"/>
      <c r="CJX219" s="28"/>
      <c r="CJY219" s="28"/>
      <c r="CJZ219" s="28"/>
      <c r="CKA219" s="28"/>
      <c r="CKB219" s="28"/>
      <c r="CKC219" s="28"/>
      <c r="CKD219" s="28"/>
      <c r="CKE219" s="28"/>
      <c r="CKF219" s="28"/>
      <c r="CKG219" s="28"/>
      <c r="CKH219" s="28"/>
      <c r="CKI219" s="28"/>
      <c r="CKJ219" s="28"/>
      <c r="CKK219" s="28"/>
      <c r="CKL219" s="28"/>
      <c r="CKM219" s="28"/>
      <c r="CKN219" s="28"/>
      <c r="CKO219" s="28"/>
      <c r="CKP219" s="28"/>
      <c r="CKQ219" s="28"/>
      <c r="CKR219" s="28"/>
      <c r="CKS219" s="28"/>
      <c r="CKT219" s="28"/>
      <c r="CKU219" s="28"/>
      <c r="CKV219" s="28"/>
      <c r="CKW219" s="28"/>
      <c r="CKX219" s="28"/>
      <c r="CKY219" s="28"/>
      <c r="CKZ219" s="28"/>
      <c r="CLA219" s="28"/>
      <c r="CLB219" s="28"/>
      <c r="CLC219" s="28"/>
      <c r="CLD219" s="28"/>
      <c r="CLE219" s="28"/>
      <c r="CLF219" s="28"/>
      <c r="CLG219" s="28"/>
      <c r="CLH219" s="28"/>
      <c r="CLI219" s="28"/>
      <c r="CLJ219" s="28"/>
      <c r="CLK219" s="28"/>
      <c r="CLL219" s="28"/>
      <c r="CLM219" s="28"/>
      <c r="CLN219" s="28"/>
      <c r="CLO219" s="28"/>
      <c r="CLP219" s="28"/>
      <c r="CLQ219" s="28"/>
      <c r="CLR219" s="28"/>
      <c r="CLS219" s="28"/>
      <c r="CLT219" s="28"/>
      <c r="CLU219" s="28"/>
      <c r="CLV219" s="28"/>
      <c r="CLW219" s="28"/>
      <c r="CLX219" s="28"/>
      <c r="CLY219" s="28"/>
      <c r="CLZ219" s="28"/>
      <c r="CMA219" s="28"/>
      <c r="CMB219" s="28"/>
      <c r="CMC219" s="28"/>
      <c r="CMD219" s="28"/>
      <c r="CME219" s="28"/>
      <c r="CMF219" s="28"/>
      <c r="CMG219" s="28"/>
      <c r="CMH219" s="28"/>
      <c r="CMI219" s="28"/>
      <c r="CMJ219" s="28"/>
      <c r="CMK219" s="28"/>
      <c r="CML219" s="28"/>
      <c r="CMM219" s="28"/>
      <c r="CMN219" s="28"/>
      <c r="CMO219" s="28"/>
      <c r="CMP219" s="28"/>
      <c r="CMQ219" s="28"/>
      <c r="CMR219" s="28"/>
      <c r="CMS219" s="28"/>
      <c r="CMT219" s="28"/>
      <c r="CMU219" s="28"/>
      <c r="CMV219" s="28"/>
      <c r="CMW219" s="28"/>
      <c r="CMX219" s="28"/>
      <c r="CMY219" s="28"/>
      <c r="CMZ219" s="28"/>
      <c r="CNA219" s="28"/>
      <c r="CNB219" s="28"/>
      <c r="CNC219" s="28"/>
      <c r="CND219" s="28"/>
      <c r="CNE219" s="28"/>
      <c r="CNF219" s="28"/>
      <c r="CNG219" s="28"/>
      <c r="CNH219" s="28"/>
      <c r="CNI219" s="28"/>
      <c r="CNJ219" s="28"/>
      <c r="CNK219" s="28"/>
      <c r="CNL219" s="28"/>
      <c r="CNM219" s="28"/>
      <c r="CNN219" s="28"/>
      <c r="CNO219" s="28"/>
      <c r="CNP219" s="28"/>
      <c r="CNQ219" s="28"/>
      <c r="CNR219" s="28"/>
      <c r="CNS219" s="28"/>
      <c r="CNT219" s="28"/>
      <c r="CNU219" s="28"/>
      <c r="CNV219" s="28"/>
      <c r="CNW219" s="28"/>
      <c r="CNX219" s="28"/>
      <c r="CNY219" s="28"/>
      <c r="CNZ219" s="28"/>
      <c r="COA219" s="28"/>
      <c r="COB219" s="28"/>
      <c r="COC219" s="28"/>
      <c r="COD219" s="28"/>
      <c r="COE219" s="28"/>
      <c r="COF219" s="28"/>
      <c r="COG219" s="28"/>
      <c r="COH219" s="28"/>
      <c r="COI219" s="28"/>
      <c r="COJ219" s="28"/>
      <c r="COK219" s="28"/>
      <c r="COL219" s="28"/>
      <c r="COM219" s="28"/>
      <c r="CON219" s="28"/>
      <c r="COO219" s="28"/>
      <c r="COP219" s="28"/>
      <c r="COQ219" s="28"/>
      <c r="COR219" s="28"/>
      <c r="COS219" s="28"/>
      <c r="COT219" s="28"/>
      <c r="COU219" s="28"/>
      <c r="COV219" s="28"/>
      <c r="COW219" s="28"/>
      <c r="COX219" s="28"/>
      <c r="COY219" s="28"/>
      <c r="COZ219" s="28"/>
      <c r="CPA219" s="28"/>
      <c r="CPB219" s="28"/>
      <c r="CPC219" s="28"/>
      <c r="CPD219" s="28"/>
      <c r="CPE219" s="28"/>
      <c r="CPF219" s="28"/>
      <c r="CPG219" s="28"/>
      <c r="CPH219" s="28"/>
      <c r="CPI219" s="28"/>
      <c r="CPJ219" s="28"/>
      <c r="CPK219" s="28"/>
      <c r="CPL219" s="28"/>
      <c r="CPM219" s="28"/>
      <c r="CPN219" s="28"/>
      <c r="CPO219" s="28"/>
      <c r="CPP219" s="28"/>
      <c r="CPQ219" s="28"/>
      <c r="CPR219" s="28"/>
      <c r="CPS219" s="28"/>
      <c r="CPT219" s="28"/>
      <c r="CPU219" s="28"/>
      <c r="CPV219" s="28"/>
      <c r="CPW219" s="28"/>
      <c r="CPX219" s="28"/>
      <c r="CPY219" s="28"/>
      <c r="CPZ219" s="28"/>
      <c r="CQA219" s="28"/>
      <c r="CQB219" s="28"/>
      <c r="CQC219" s="28"/>
      <c r="CQD219" s="28"/>
      <c r="CQE219" s="28"/>
      <c r="CQF219" s="28"/>
      <c r="CQG219" s="28"/>
      <c r="CQH219" s="28"/>
      <c r="CQI219" s="28"/>
      <c r="CQJ219" s="28"/>
      <c r="CQK219" s="28"/>
      <c r="CQL219" s="28"/>
      <c r="CQM219" s="28"/>
      <c r="CQN219" s="28"/>
      <c r="CQO219" s="28"/>
      <c r="CQP219" s="28"/>
      <c r="CQQ219" s="28"/>
      <c r="CQR219" s="28"/>
      <c r="CQS219" s="28"/>
      <c r="CQT219" s="28"/>
      <c r="CQU219" s="28"/>
      <c r="CQV219" s="28"/>
      <c r="CQW219" s="28"/>
      <c r="CQX219" s="28"/>
      <c r="CQY219" s="28"/>
      <c r="CQZ219" s="28"/>
      <c r="CRA219" s="28"/>
      <c r="CRB219" s="28"/>
      <c r="CRC219" s="28"/>
      <c r="CRD219" s="28"/>
      <c r="CRE219" s="28"/>
      <c r="CRF219" s="28"/>
      <c r="CRG219" s="28"/>
      <c r="CRH219" s="28"/>
      <c r="CRI219" s="28"/>
      <c r="CRJ219" s="28"/>
      <c r="CRK219" s="28"/>
      <c r="CRL219" s="28"/>
      <c r="CRM219" s="28"/>
      <c r="CRN219" s="28"/>
      <c r="CRO219" s="28"/>
      <c r="CRP219" s="28"/>
      <c r="CRQ219" s="28"/>
      <c r="CRR219" s="28"/>
      <c r="CRS219" s="28"/>
      <c r="CRT219" s="28"/>
      <c r="CRU219" s="28"/>
      <c r="CRV219" s="28"/>
      <c r="CRW219" s="28"/>
      <c r="CRX219" s="28"/>
      <c r="CRY219" s="28"/>
      <c r="CRZ219" s="28"/>
      <c r="CSA219" s="28"/>
      <c r="CSB219" s="28"/>
      <c r="CSC219" s="28"/>
      <c r="CSD219" s="28"/>
      <c r="CSE219" s="28"/>
      <c r="CSF219" s="28"/>
      <c r="CSG219" s="28"/>
      <c r="CSH219" s="28"/>
      <c r="CSI219" s="28"/>
      <c r="CSJ219" s="28"/>
      <c r="CSK219" s="28"/>
      <c r="CSL219" s="28"/>
      <c r="CSM219" s="28"/>
      <c r="CSN219" s="28"/>
      <c r="CSO219" s="28"/>
      <c r="CSP219" s="28"/>
      <c r="CSQ219" s="28"/>
      <c r="CSR219" s="28"/>
      <c r="CSS219" s="28"/>
      <c r="CST219" s="28"/>
      <c r="CSU219" s="28"/>
      <c r="CSV219" s="28"/>
      <c r="CSW219" s="28"/>
      <c r="CSX219" s="28"/>
      <c r="CSY219" s="28"/>
      <c r="CSZ219" s="28"/>
      <c r="CTA219" s="28"/>
      <c r="CTB219" s="28"/>
      <c r="CTC219" s="28"/>
      <c r="CTD219" s="28"/>
      <c r="CTE219" s="28"/>
      <c r="CTF219" s="28"/>
      <c r="CTG219" s="28"/>
      <c r="CTH219" s="28"/>
      <c r="CTI219" s="28"/>
      <c r="CTJ219" s="28"/>
      <c r="CTK219" s="28"/>
      <c r="CTL219" s="28"/>
      <c r="CTM219" s="28"/>
      <c r="CTN219" s="28"/>
      <c r="CTO219" s="28"/>
      <c r="CTP219" s="28"/>
      <c r="CTQ219" s="28"/>
      <c r="CTR219" s="28"/>
      <c r="CTS219" s="28"/>
      <c r="CTT219" s="28"/>
      <c r="CTU219" s="28"/>
      <c r="CTV219" s="28"/>
      <c r="CTW219" s="28"/>
      <c r="CTX219" s="28"/>
      <c r="CTY219" s="28"/>
      <c r="CTZ219" s="28"/>
      <c r="CUA219" s="28"/>
      <c r="CUB219" s="28"/>
      <c r="CUC219" s="28"/>
      <c r="CUD219" s="28"/>
      <c r="CUE219" s="28"/>
      <c r="CUF219" s="28"/>
      <c r="CUG219" s="28"/>
      <c r="CUH219" s="28"/>
      <c r="CUI219" s="28"/>
      <c r="CUJ219" s="28"/>
      <c r="CUK219" s="28"/>
      <c r="CUL219" s="28"/>
      <c r="CUM219" s="28"/>
      <c r="CUN219" s="28"/>
      <c r="CUO219" s="28"/>
      <c r="CUP219" s="28"/>
      <c r="CUQ219" s="28"/>
      <c r="CUR219" s="28"/>
      <c r="CUS219" s="28"/>
      <c r="CUT219" s="28"/>
      <c r="CUU219" s="28"/>
      <c r="CUV219" s="28"/>
      <c r="CUW219" s="28"/>
      <c r="CUX219" s="28"/>
      <c r="CUY219" s="28"/>
      <c r="CUZ219" s="28"/>
      <c r="CVA219" s="28"/>
      <c r="CVB219" s="28"/>
      <c r="CVC219" s="28"/>
      <c r="CVD219" s="28"/>
      <c r="CVE219" s="28"/>
      <c r="CVF219" s="28"/>
      <c r="CVG219" s="28"/>
      <c r="CVH219" s="28"/>
      <c r="CVI219" s="28"/>
      <c r="CVJ219" s="28"/>
      <c r="CVK219" s="28"/>
      <c r="CVL219" s="28"/>
      <c r="CVM219" s="28"/>
      <c r="CVN219" s="28"/>
      <c r="CVO219" s="28"/>
      <c r="CVP219" s="28"/>
      <c r="CVQ219" s="28"/>
      <c r="CVR219" s="28"/>
      <c r="CVS219" s="28"/>
      <c r="CVT219" s="28"/>
      <c r="CVU219" s="28"/>
      <c r="CVV219" s="28"/>
      <c r="CVW219" s="28"/>
      <c r="CVX219" s="28"/>
      <c r="CVY219" s="28"/>
      <c r="CVZ219" s="28"/>
      <c r="CWA219" s="28"/>
      <c r="CWB219" s="28"/>
      <c r="CWC219" s="28"/>
      <c r="CWD219" s="28"/>
      <c r="CWE219" s="28"/>
      <c r="CWF219" s="28"/>
      <c r="CWG219" s="28"/>
      <c r="CWH219" s="28"/>
      <c r="CWI219" s="28"/>
      <c r="CWJ219" s="28"/>
      <c r="CWK219" s="28"/>
      <c r="CWL219" s="28"/>
      <c r="CWM219" s="28"/>
      <c r="CWN219" s="28"/>
      <c r="CWO219" s="28"/>
      <c r="CWP219" s="28"/>
      <c r="CWQ219" s="28"/>
      <c r="CWR219" s="28"/>
      <c r="CWS219" s="28"/>
      <c r="CWT219" s="28"/>
      <c r="CWU219" s="28"/>
      <c r="CWV219" s="28"/>
      <c r="CWW219" s="28"/>
      <c r="CWX219" s="28"/>
      <c r="CWY219" s="28"/>
      <c r="CWZ219" s="28"/>
      <c r="CXA219" s="28"/>
      <c r="CXB219" s="28"/>
      <c r="CXC219" s="28"/>
      <c r="CXD219" s="28"/>
      <c r="CXE219" s="28"/>
      <c r="CXF219" s="28"/>
      <c r="CXG219" s="28"/>
      <c r="CXH219" s="28"/>
      <c r="CXI219" s="28"/>
      <c r="CXJ219" s="28"/>
      <c r="CXK219" s="28"/>
      <c r="CXL219" s="28"/>
      <c r="CXM219" s="28"/>
      <c r="CXN219" s="28"/>
      <c r="CXO219" s="28"/>
      <c r="CXP219" s="28"/>
      <c r="CXQ219" s="28"/>
      <c r="CXR219" s="28"/>
      <c r="CXS219" s="28"/>
      <c r="CXT219" s="28"/>
      <c r="CXU219" s="28"/>
      <c r="CXV219" s="28"/>
      <c r="CXW219" s="28"/>
      <c r="CXX219" s="28"/>
      <c r="CXY219" s="28"/>
      <c r="CXZ219" s="28"/>
      <c r="CYA219" s="28"/>
      <c r="CYB219" s="28"/>
      <c r="CYC219" s="28"/>
      <c r="CYD219" s="28"/>
      <c r="CYE219" s="28"/>
      <c r="CYF219" s="28"/>
      <c r="CYG219" s="28"/>
      <c r="CYH219" s="28"/>
      <c r="CYI219" s="28"/>
      <c r="CYJ219" s="28"/>
      <c r="CYK219" s="28"/>
      <c r="CYL219" s="28"/>
      <c r="CYM219" s="28"/>
      <c r="CYN219" s="28"/>
      <c r="CYO219" s="28"/>
      <c r="CYP219" s="28"/>
      <c r="CYQ219" s="28"/>
      <c r="CYR219" s="28"/>
      <c r="CYS219" s="28"/>
      <c r="CYT219" s="28"/>
      <c r="CYU219" s="28"/>
      <c r="CYV219" s="28"/>
      <c r="CYW219" s="28"/>
      <c r="CYX219" s="28"/>
      <c r="CYY219" s="28"/>
      <c r="CYZ219" s="28"/>
      <c r="CZA219" s="28"/>
      <c r="CZB219" s="28"/>
      <c r="CZC219" s="28"/>
      <c r="CZD219" s="28"/>
      <c r="CZE219" s="28"/>
      <c r="CZF219" s="28"/>
      <c r="CZG219" s="28"/>
      <c r="CZH219" s="28"/>
      <c r="CZI219" s="28"/>
      <c r="CZJ219" s="28"/>
      <c r="CZK219" s="28"/>
      <c r="CZL219" s="28"/>
      <c r="CZM219" s="28"/>
      <c r="CZN219" s="28"/>
      <c r="CZO219" s="28"/>
      <c r="CZP219" s="28"/>
      <c r="CZQ219" s="28"/>
      <c r="CZR219" s="28"/>
      <c r="CZS219" s="28"/>
      <c r="CZT219" s="28"/>
      <c r="CZU219" s="28"/>
      <c r="CZV219" s="28"/>
      <c r="CZW219" s="28"/>
      <c r="CZX219" s="28"/>
      <c r="CZY219" s="28"/>
      <c r="CZZ219" s="28"/>
      <c r="DAA219" s="28"/>
      <c r="DAB219" s="28"/>
      <c r="DAC219" s="28"/>
      <c r="DAD219" s="28"/>
      <c r="DAE219" s="28"/>
      <c r="DAF219" s="28"/>
      <c r="DAG219" s="28"/>
      <c r="DAH219" s="28"/>
      <c r="DAI219" s="28"/>
      <c r="DAJ219" s="28"/>
      <c r="DAK219" s="28"/>
      <c r="DAL219" s="28"/>
      <c r="DAM219" s="28"/>
      <c r="DAN219" s="28"/>
      <c r="DAO219" s="28"/>
      <c r="DAP219" s="28"/>
      <c r="DAQ219" s="28"/>
      <c r="DAR219" s="28"/>
      <c r="DAS219" s="28"/>
      <c r="DAT219" s="28"/>
      <c r="DAU219" s="28"/>
      <c r="DAV219" s="28"/>
      <c r="DAW219" s="28"/>
      <c r="DAX219" s="28"/>
      <c r="DAY219" s="28"/>
      <c r="DAZ219" s="28"/>
      <c r="DBA219" s="28"/>
      <c r="DBB219" s="28"/>
      <c r="DBC219" s="28"/>
      <c r="DBD219" s="28"/>
      <c r="DBE219" s="28"/>
      <c r="DBF219" s="28"/>
      <c r="DBG219" s="28"/>
      <c r="DBH219" s="28"/>
      <c r="DBI219" s="28"/>
      <c r="DBJ219" s="28"/>
      <c r="DBK219" s="28"/>
      <c r="DBL219" s="28"/>
      <c r="DBM219" s="28"/>
      <c r="DBN219" s="28"/>
      <c r="DBO219" s="28"/>
      <c r="DBP219" s="28"/>
      <c r="DBQ219" s="28"/>
      <c r="DBR219" s="28"/>
      <c r="DBS219" s="28"/>
      <c r="DBT219" s="28"/>
      <c r="DBU219" s="28"/>
      <c r="DBV219" s="28"/>
      <c r="DBW219" s="28"/>
      <c r="DBX219" s="28"/>
      <c r="DBY219" s="28"/>
      <c r="DBZ219" s="28"/>
      <c r="DCA219" s="28"/>
      <c r="DCB219" s="28"/>
      <c r="DCC219" s="28"/>
      <c r="DCD219" s="28"/>
      <c r="DCE219" s="28"/>
      <c r="DCF219" s="28"/>
      <c r="DCG219" s="28"/>
      <c r="DCH219" s="28"/>
      <c r="DCI219" s="28"/>
      <c r="DCJ219" s="28"/>
      <c r="DCK219" s="28"/>
      <c r="DCL219" s="28"/>
      <c r="DCM219" s="28"/>
      <c r="DCN219" s="28"/>
      <c r="DCO219" s="28"/>
      <c r="DCP219" s="28"/>
      <c r="DCQ219" s="28"/>
      <c r="DCR219" s="28"/>
      <c r="DCS219" s="28"/>
      <c r="DCT219" s="28"/>
      <c r="DCU219" s="28"/>
      <c r="DCV219" s="28"/>
      <c r="DCW219" s="28"/>
      <c r="DCX219" s="28"/>
      <c r="DCY219" s="28"/>
      <c r="DCZ219" s="28"/>
      <c r="DDA219" s="28"/>
      <c r="DDB219" s="28"/>
      <c r="DDC219" s="28"/>
      <c r="DDD219" s="28"/>
      <c r="DDE219" s="28"/>
      <c r="DDF219" s="28"/>
      <c r="DDG219" s="28"/>
      <c r="DDH219" s="28"/>
      <c r="DDI219" s="28"/>
      <c r="DDJ219" s="28"/>
      <c r="DDK219" s="28"/>
      <c r="DDL219" s="28"/>
      <c r="DDM219" s="28"/>
      <c r="DDN219" s="28"/>
      <c r="DDO219" s="28"/>
      <c r="DDP219" s="28"/>
      <c r="DDQ219" s="28"/>
      <c r="DDR219" s="28"/>
      <c r="DDS219" s="28"/>
      <c r="DDT219" s="28"/>
      <c r="DDU219" s="28"/>
      <c r="DDV219" s="28"/>
      <c r="DDW219" s="28"/>
      <c r="DDX219" s="28"/>
      <c r="DDY219" s="28"/>
      <c r="DDZ219" s="28"/>
      <c r="DEA219" s="28"/>
      <c r="DEB219" s="28"/>
      <c r="DEC219" s="28"/>
      <c r="DED219" s="28"/>
      <c r="DEE219" s="28"/>
      <c r="DEF219" s="28"/>
      <c r="DEG219" s="28"/>
      <c r="DEH219" s="28"/>
      <c r="DEI219" s="28"/>
      <c r="DEJ219" s="28"/>
      <c r="DEK219" s="28"/>
      <c r="DEL219" s="28"/>
      <c r="DEM219" s="28"/>
      <c r="DEN219" s="28"/>
      <c r="DEO219" s="28"/>
      <c r="DEP219" s="28"/>
      <c r="DEQ219" s="28"/>
      <c r="DER219" s="28"/>
      <c r="DES219" s="28"/>
      <c r="DET219" s="28"/>
      <c r="DEU219" s="28"/>
      <c r="DEV219" s="28"/>
      <c r="DEW219" s="28"/>
      <c r="DEX219" s="28"/>
      <c r="DEY219" s="28"/>
      <c r="DEZ219" s="28"/>
      <c r="DFA219" s="28"/>
      <c r="DFB219" s="28"/>
      <c r="DFC219" s="28"/>
      <c r="DFD219" s="28"/>
      <c r="DFE219" s="28"/>
      <c r="DFF219" s="28"/>
      <c r="DFG219" s="28"/>
      <c r="DFH219" s="28"/>
      <c r="DFI219" s="28"/>
      <c r="DFJ219" s="28"/>
      <c r="DFK219" s="28"/>
      <c r="DFL219" s="28"/>
      <c r="DFM219" s="28"/>
      <c r="DFN219" s="28"/>
      <c r="DFO219" s="28"/>
      <c r="DFP219" s="28"/>
      <c r="DFQ219" s="28"/>
      <c r="DFR219" s="28"/>
      <c r="DFS219" s="28"/>
      <c r="DFT219" s="28"/>
      <c r="DFU219" s="28"/>
      <c r="DFV219" s="28"/>
      <c r="DFW219" s="28"/>
      <c r="DFX219" s="28"/>
      <c r="DFY219" s="28"/>
      <c r="DFZ219" s="28"/>
      <c r="DGA219" s="28"/>
      <c r="DGB219" s="28"/>
      <c r="DGC219" s="28"/>
      <c r="DGD219" s="28"/>
      <c r="DGE219" s="28"/>
      <c r="DGF219" s="28"/>
      <c r="DGG219" s="28"/>
      <c r="DGH219" s="28"/>
      <c r="DGI219" s="28"/>
      <c r="DGJ219" s="28"/>
      <c r="DGK219" s="28"/>
      <c r="DGL219" s="28"/>
      <c r="DGM219" s="28"/>
      <c r="DGN219" s="28"/>
      <c r="DGO219" s="28"/>
      <c r="DGP219" s="28"/>
      <c r="DGQ219" s="28"/>
      <c r="DGR219" s="28"/>
      <c r="DGS219" s="28"/>
      <c r="DGT219" s="28"/>
      <c r="DGU219" s="28"/>
      <c r="DGV219" s="28"/>
      <c r="DGW219" s="28"/>
      <c r="DGX219" s="28"/>
      <c r="DGY219" s="28"/>
      <c r="DGZ219" s="28"/>
      <c r="DHA219" s="28"/>
      <c r="DHB219" s="28"/>
      <c r="DHC219" s="28"/>
      <c r="DHD219" s="28"/>
      <c r="DHE219" s="28"/>
      <c r="DHF219" s="28"/>
      <c r="DHG219" s="28"/>
      <c r="DHH219" s="28"/>
      <c r="DHI219" s="28"/>
      <c r="DHJ219" s="28"/>
      <c r="DHK219" s="28"/>
      <c r="DHL219" s="28"/>
      <c r="DHM219" s="28"/>
      <c r="DHN219" s="28"/>
      <c r="DHO219" s="28"/>
      <c r="DHP219" s="28"/>
      <c r="DHQ219" s="28"/>
      <c r="DHR219" s="28"/>
      <c r="DHS219" s="28"/>
      <c r="DHT219" s="28"/>
      <c r="DHU219" s="28"/>
      <c r="DHV219" s="28"/>
      <c r="DHW219" s="28"/>
      <c r="DHX219" s="28"/>
      <c r="DHY219" s="28"/>
      <c r="DHZ219" s="28"/>
      <c r="DIA219" s="28"/>
      <c r="DIB219" s="28"/>
      <c r="DIC219" s="28"/>
      <c r="DID219" s="28"/>
      <c r="DIE219" s="28"/>
      <c r="DIF219" s="28"/>
      <c r="DIG219" s="28"/>
      <c r="DIH219" s="28"/>
      <c r="DII219" s="28"/>
      <c r="DIJ219" s="28"/>
      <c r="DIK219" s="28"/>
      <c r="DIL219" s="28"/>
      <c r="DIM219" s="28"/>
      <c r="DIN219" s="28"/>
      <c r="DIO219" s="28"/>
      <c r="DIP219" s="28"/>
      <c r="DIQ219" s="28"/>
      <c r="DIR219" s="28"/>
      <c r="DIS219" s="28"/>
      <c r="DIT219" s="28"/>
      <c r="DIU219" s="28"/>
      <c r="DIV219" s="28"/>
      <c r="DIW219" s="28"/>
      <c r="DIX219" s="28"/>
      <c r="DIY219" s="28"/>
      <c r="DIZ219" s="28"/>
      <c r="DJA219" s="28"/>
      <c r="DJB219" s="28"/>
      <c r="DJC219" s="28"/>
      <c r="DJD219" s="28"/>
      <c r="DJE219" s="28"/>
      <c r="DJF219" s="28"/>
      <c r="DJG219" s="28"/>
      <c r="DJH219" s="28"/>
      <c r="DJI219" s="28"/>
      <c r="DJJ219" s="28"/>
      <c r="DJK219" s="28"/>
      <c r="DJL219" s="28"/>
      <c r="DJM219" s="28"/>
      <c r="DJN219" s="28"/>
      <c r="DJO219" s="28"/>
      <c r="DJP219" s="28"/>
      <c r="DJQ219" s="28"/>
      <c r="DJR219" s="28"/>
      <c r="DJS219" s="28"/>
      <c r="DJT219" s="28"/>
      <c r="DJU219" s="28"/>
      <c r="DJV219" s="28"/>
      <c r="DJW219" s="28"/>
      <c r="DJX219" s="28"/>
      <c r="DJY219" s="28"/>
      <c r="DJZ219" s="28"/>
      <c r="DKA219" s="28"/>
      <c r="DKB219" s="28"/>
      <c r="DKC219" s="28"/>
      <c r="DKD219" s="28"/>
      <c r="DKE219" s="28"/>
      <c r="DKF219" s="28"/>
      <c r="DKG219" s="28"/>
      <c r="DKH219" s="28"/>
      <c r="DKI219" s="28"/>
      <c r="DKJ219" s="28"/>
      <c r="DKK219" s="28"/>
      <c r="DKL219" s="28"/>
      <c r="DKM219" s="28"/>
      <c r="DKN219" s="28"/>
      <c r="DKO219" s="28"/>
      <c r="DKP219" s="28"/>
      <c r="DKQ219" s="28"/>
      <c r="DKR219" s="28"/>
      <c r="DKS219" s="28"/>
      <c r="DKT219" s="28"/>
      <c r="DKU219" s="28"/>
      <c r="DKV219" s="28"/>
      <c r="DKW219" s="28"/>
      <c r="DKX219" s="28"/>
      <c r="DKY219" s="28"/>
      <c r="DKZ219" s="28"/>
      <c r="DLA219" s="28"/>
      <c r="DLB219" s="28"/>
      <c r="DLC219" s="28"/>
      <c r="DLD219" s="28"/>
      <c r="DLE219" s="28"/>
      <c r="DLF219" s="28"/>
      <c r="DLG219" s="28"/>
      <c r="DLH219" s="28"/>
      <c r="DLI219" s="28"/>
      <c r="DLJ219" s="28"/>
      <c r="DLK219" s="28"/>
      <c r="DLL219" s="28"/>
      <c r="DLM219" s="28"/>
      <c r="DLN219" s="28"/>
      <c r="DLO219" s="28"/>
      <c r="DLP219" s="28"/>
      <c r="DLQ219" s="28"/>
      <c r="DLR219" s="28"/>
      <c r="DLS219" s="28"/>
      <c r="DLT219" s="28"/>
      <c r="DLU219" s="28"/>
      <c r="DLV219" s="28"/>
      <c r="DLW219" s="28"/>
      <c r="DLX219" s="28"/>
      <c r="DLY219" s="28"/>
      <c r="DLZ219" s="28"/>
      <c r="DMA219" s="28"/>
      <c r="DMB219" s="28"/>
      <c r="DMC219" s="28"/>
      <c r="DMD219" s="28"/>
      <c r="DME219" s="28"/>
      <c r="DMF219" s="28"/>
      <c r="DMG219" s="28"/>
      <c r="DMH219" s="28"/>
      <c r="DMI219" s="28"/>
      <c r="DMJ219" s="28"/>
      <c r="DMK219" s="28"/>
      <c r="DML219" s="28"/>
      <c r="DMM219" s="28"/>
      <c r="DMN219" s="28"/>
      <c r="DMO219" s="28"/>
      <c r="DMP219" s="28"/>
      <c r="DMQ219" s="28"/>
      <c r="DMR219" s="28"/>
      <c r="DMS219" s="28"/>
      <c r="DMT219" s="28"/>
      <c r="DMU219" s="28"/>
      <c r="DMV219" s="28"/>
      <c r="DMW219" s="28"/>
      <c r="DMX219" s="28"/>
      <c r="DMY219" s="28"/>
      <c r="DMZ219" s="28"/>
      <c r="DNA219" s="28"/>
      <c r="DNB219" s="28"/>
      <c r="DNC219" s="28"/>
      <c r="DND219" s="28"/>
      <c r="DNE219" s="28"/>
      <c r="DNF219" s="28"/>
      <c r="DNG219" s="28"/>
      <c r="DNH219" s="28"/>
      <c r="DNI219" s="28"/>
      <c r="DNJ219" s="28"/>
      <c r="DNK219" s="28"/>
      <c r="DNL219" s="28"/>
      <c r="DNM219" s="28"/>
      <c r="DNN219" s="28"/>
      <c r="DNO219" s="28"/>
      <c r="DNP219" s="28"/>
      <c r="DNQ219" s="28"/>
      <c r="DNR219" s="28"/>
      <c r="DNS219" s="28"/>
      <c r="DNT219" s="28"/>
      <c r="DNU219" s="28"/>
      <c r="DNV219" s="28"/>
      <c r="DNW219" s="28"/>
      <c r="DNX219" s="28"/>
      <c r="DNY219" s="28"/>
      <c r="DNZ219" s="28"/>
      <c r="DOA219" s="28"/>
      <c r="DOB219" s="28"/>
      <c r="DOC219" s="28"/>
      <c r="DOD219" s="28"/>
      <c r="DOE219" s="28"/>
      <c r="DOF219" s="28"/>
      <c r="DOG219" s="28"/>
      <c r="DOH219" s="28"/>
      <c r="DOI219" s="28"/>
      <c r="DOJ219" s="28"/>
      <c r="DOK219" s="28"/>
      <c r="DOL219" s="28"/>
      <c r="DOM219" s="28"/>
      <c r="DON219" s="28"/>
      <c r="DOO219" s="28"/>
      <c r="DOP219" s="28"/>
      <c r="DOQ219" s="28"/>
      <c r="DOR219" s="28"/>
      <c r="DOS219" s="28"/>
      <c r="DOT219" s="28"/>
      <c r="DOU219" s="28"/>
      <c r="DOV219" s="28"/>
      <c r="DOW219" s="28"/>
      <c r="DOX219" s="28"/>
      <c r="DOY219" s="28"/>
      <c r="DOZ219" s="28"/>
      <c r="DPA219" s="28"/>
      <c r="DPB219" s="28"/>
      <c r="DPC219" s="28"/>
      <c r="DPD219" s="28"/>
      <c r="DPE219" s="28"/>
      <c r="DPF219" s="28"/>
      <c r="DPG219" s="28"/>
      <c r="DPH219" s="28"/>
      <c r="DPI219" s="28"/>
      <c r="DPJ219" s="28"/>
      <c r="DPK219" s="28"/>
      <c r="DPL219" s="28"/>
      <c r="DPM219" s="28"/>
      <c r="DPN219" s="28"/>
      <c r="DPO219" s="28"/>
      <c r="DPP219" s="28"/>
      <c r="DPQ219" s="28"/>
      <c r="DPR219" s="28"/>
      <c r="DPS219" s="28"/>
      <c r="DPT219" s="28"/>
      <c r="DPU219" s="28"/>
      <c r="DPV219" s="28"/>
      <c r="DPW219" s="28"/>
      <c r="DPX219" s="28"/>
      <c r="DPY219" s="28"/>
      <c r="DPZ219" s="28"/>
      <c r="DQA219" s="28"/>
      <c r="DQB219" s="28"/>
      <c r="DQC219" s="28"/>
      <c r="DQD219" s="28"/>
      <c r="DQE219" s="28"/>
      <c r="DQF219" s="28"/>
      <c r="DQG219" s="28"/>
      <c r="DQH219" s="28"/>
      <c r="DQI219" s="28"/>
      <c r="DQJ219" s="28"/>
      <c r="DQK219" s="28"/>
      <c r="DQL219" s="28"/>
      <c r="DQM219" s="28"/>
      <c r="DQN219" s="28"/>
      <c r="DQO219" s="28"/>
      <c r="DQP219" s="28"/>
      <c r="DQQ219" s="28"/>
      <c r="DQR219" s="28"/>
      <c r="DQS219" s="28"/>
      <c r="DQT219" s="28"/>
      <c r="DQU219" s="28"/>
      <c r="DQV219" s="28"/>
      <c r="DQW219" s="28"/>
      <c r="DQX219" s="28"/>
      <c r="DQY219" s="28"/>
      <c r="DQZ219" s="28"/>
      <c r="DRA219" s="28"/>
      <c r="DRB219" s="28"/>
      <c r="DRC219" s="28"/>
      <c r="DRD219" s="28"/>
      <c r="DRE219" s="28"/>
      <c r="DRF219" s="28"/>
      <c r="DRG219" s="28"/>
      <c r="DRH219" s="28"/>
      <c r="DRI219" s="28"/>
      <c r="DRJ219" s="28"/>
      <c r="DRK219" s="28"/>
      <c r="DRL219" s="28"/>
      <c r="DRM219" s="28"/>
      <c r="DRN219" s="28"/>
      <c r="DRO219" s="28"/>
      <c r="DRP219" s="28"/>
      <c r="DRQ219" s="28"/>
      <c r="DRR219" s="28"/>
      <c r="DRS219" s="28"/>
      <c r="DRT219" s="28"/>
      <c r="DRU219" s="28"/>
      <c r="DRV219" s="28"/>
      <c r="DRW219" s="28"/>
      <c r="DRX219" s="28"/>
      <c r="DRY219" s="28"/>
      <c r="DRZ219" s="28"/>
      <c r="DSA219" s="28"/>
      <c r="DSB219" s="28"/>
      <c r="DSC219" s="28"/>
      <c r="DSD219" s="28"/>
      <c r="DSE219" s="28"/>
      <c r="DSF219" s="28"/>
      <c r="DSG219" s="28"/>
      <c r="DSH219" s="28"/>
      <c r="DSI219" s="28"/>
      <c r="DSJ219" s="28"/>
      <c r="DSK219" s="28"/>
      <c r="DSL219" s="28"/>
      <c r="DSM219" s="28"/>
      <c r="DSN219" s="28"/>
      <c r="DSO219" s="28"/>
      <c r="DSP219" s="28"/>
      <c r="DSQ219" s="28"/>
      <c r="DSR219" s="28"/>
      <c r="DSS219" s="28"/>
      <c r="DST219" s="28"/>
      <c r="DSU219" s="28"/>
      <c r="DSV219" s="28"/>
      <c r="DSW219" s="28"/>
      <c r="DSX219" s="28"/>
      <c r="DSY219" s="28"/>
      <c r="DSZ219" s="28"/>
      <c r="DTA219" s="28"/>
      <c r="DTB219" s="28"/>
      <c r="DTC219" s="28"/>
      <c r="DTD219" s="28"/>
      <c r="DTE219" s="28"/>
      <c r="DTF219" s="28"/>
      <c r="DTG219" s="28"/>
      <c r="DTH219" s="28"/>
      <c r="DTI219" s="28"/>
      <c r="DTJ219" s="28"/>
      <c r="DTK219" s="28"/>
      <c r="DTL219" s="28"/>
      <c r="DTM219" s="28"/>
      <c r="DTN219" s="28"/>
      <c r="DTO219" s="28"/>
      <c r="DTP219" s="28"/>
      <c r="DTQ219" s="28"/>
      <c r="DTR219" s="28"/>
      <c r="DTS219" s="28"/>
      <c r="DTT219" s="28"/>
      <c r="DTU219" s="28"/>
      <c r="DTV219" s="28"/>
      <c r="DTW219" s="28"/>
      <c r="DTX219" s="28"/>
      <c r="DTY219" s="28"/>
      <c r="DTZ219" s="28"/>
      <c r="DUA219" s="28"/>
      <c r="DUB219" s="28"/>
      <c r="DUC219" s="28"/>
      <c r="DUD219" s="28"/>
      <c r="DUE219" s="28"/>
      <c r="DUF219" s="28"/>
      <c r="DUG219" s="28"/>
      <c r="DUH219" s="28"/>
      <c r="DUI219" s="28"/>
      <c r="DUJ219" s="28"/>
      <c r="DUK219" s="28"/>
      <c r="DUL219" s="28"/>
      <c r="DUM219" s="28"/>
      <c r="DUN219" s="28"/>
      <c r="DUO219" s="28"/>
      <c r="DUP219" s="28"/>
      <c r="DUQ219" s="28"/>
      <c r="DUR219" s="28"/>
      <c r="DUS219" s="28"/>
      <c r="DUT219" s="28"/>
      <c r="DUU219" s="28"/>
      <c r="DUV219" s="28"/>
      <c r="DUW219" s="28"/>
      <c r="DUX219" s="28"/>
      <c r="DUY219" s="28"/>
      <c r="DUZ219" s="28"/>
      <c r="DVA219" s="28"/>
      <c r="DVB219" s="28"/>
      <c r="DVC219" s="28"/>
      <c r="DVD219" s="28"/>
      <c r="DVE219" s="28"/>
      <c r="DVF219" s="28"/>
      <c r="DVG219" s="28"/>
      <c r="DVH219" s="28"/>
      <c r="DVI219" s="28"/>
      <c r="DVJ219" s="28"/>
      <c r="DVK219" s="28"/>
      <c r="DVL219" s="28"/>
      <c r="DVM219" s="28"/>
      <c r="DVN219" s="28"/>
      <c r="DVO219" s="28"/>
      <c r="DVP219" s="28"/>
      <c r="DVQ219" s="28"/>
      <c r="DVR219" s="28"/>
      <c r="DVS219" s="28"/>
      <c r="DVT219" s="28"/>
      <c r="DVU219" s="28"/>
      <c r="DVV219" s="28"/>
      <c r="DVW219" s="28"/>
      <c r="DVX219" s="28"/>
      <c r="DVY219" s="28"/>
      <c r="DVZ219" s="28"/>
      <c r="DWA219" s="28"/>
      <c r="DWB219" s="28"/>
      <c r="DWC219" s="28"/>
      <c r="DWD219" s="28"/>
      <c r="DWE219" s="28"/>
      <c r="DWF219" s="28"/>
      <c r="DWG219" s="28"/>
      <c r="DWH219" s="28"/>
      <c r="DWI219" s="28"/>
      <c r="DWJ219" s="28"/>
      <c r="DWK219" s="28"/>
      <c r="DWL219" s="28"/>
      <c r="DWM219" s="28"/>
      <c r="DWN219" s="28"/>
      <c r="DWO219" s="28"/>
      <c r="DWP219" s="28"/>
      <c r="DWQ219" s="28"/>
      <c r="DWR219" s="28"/>
      <c r="DWS219" s="28"/>
      <c r="DWT219" s="28"/>
      <c r="DWU219" s="28"/>
      <c r="DWV219" s="28"/>
      <c r="DWW219" s="28"/>
      <c r="DWX219" s="28"/>
      <c r="DWY219" s="28"/>
      <c r="DWZ219" s="28"/>
      <c r="DXA219" s="28"/>
      <c r="DXB219" s="28"/>
      <c r="DXC219" s="28"/>
      <c r="DXD219" s="28"/>
      <c r="DXE219" s="28"/>
      <c r="DXF219" s="28"/>
      <c r="DXG219" s="28"/>
      <c r="DXH219" s="28"/>
      <c r="DXI219" s="28"/>
      <c r="DXJ219" s="28"/>
      <c r="DXK219" s="28"/>
      <c r="DXL219" s="28"/>
      <c r="DXM219" s="28"/>
      <c r="DXN219" s="28"/>
      <c r="DXO219" s="28"/>
      <c r="DXP219" s="28"/>
      <c r="DXQ219" s="28"/>
      <c r="DXR219" s="28"/>
      <c r="DXS219" s="28"/>
      <c r="DXT219" s="28"/>
      <c r="DXU219" s="28"/>
      <c r="DXV219" s="28"/>
      <c r="DXW219" s="28"/>
      <c r="DXX219" s="28"/>
      <c r="DXY219" s="28"/>
      <c r="DXZ219" s="28"/>
      <c r="DYA219" s="28"/>
      <c r="DYB219" s="28"/>
      <c r="DYC219" s="28"/>
      <c r="DYD219" s="28"/>
      <c r="DYE219" s="28"/>
      <c r="DYF219" s="28"/>
      <c r="DYG219" s="28"/>
      <c r="DYH219" s="28"/>
      <c r="DYI219" s="28"/>
      <c r="DYJ219" s="28"/>
      <c r="DYK219" s="28"/>
      <c r="DYL219" s="28"/>
      <c r="DYM219" s="28"/>
      <c r="DYN219" s="28"/>
      <c r="DYO219" s="28"/>
      <c r="DYP219" s="28"/>
      <c r="DYQ219" s="28"/>
      <c r="DYR219" s="28"/>
      <c r="DYS219" s="28"/>
      <c r="DYT219" s="28"/>
      <c r="DYU219" s="28"/>
      <c r="DYV219" s="28"/>
      <c r="DYW219" s="28"/>
      <c r="DYX219" s="28"/>
      <c r="DYY219" s="28"/>
      <c r="DYZ219" s="28"/>
      <c r="DZA219" s="28"/>
      <c r="DZB219" s="28"/>
      <c r="DZC219" s="28"/>
      <c r="DZD219" s="28"/>
      <c r="DZE219" s="28"/>
      <c r="DZF219" s="28"/>
      <c r="DZG219" s="28"/>
      <c r="DZH219" s="28"/>
      <c r="DZI219" s="28"/>
      <c r="DZJ219" s="28"/>
      <c r="DZK219" s="28"/>
      <c r="DZL219" s="28"/>
      <c r="DZM219" s="28"/>
      <c r="DZN219" s="28"/>
      <c r="DZO219" s="28"/>
      <c r="DZP219" s="28"/>
      <c r="DZQ219" s="28"/>
      <c r="DZR219" s="28"/>
      <c r="DZS219" s="28"/>
      <c r="DZT219" s="28"/>
      <c r="DZU219" s="28"/>
      <c r="DZV219" s="28"/>
      <c r="DZW219" s="28"/>
      <c r="DZX219" s="28"/>
      <c r="DZY219" s="28"/>
      <c r="DZZ219" s="28"/>
      <c r="EAA219" s="28"/>
      <c r="EAB219" s="28"/>
      <c r="EAC219" s="28"/>
      <c r="EAD219" s="28"/>
      <c r="EAE219" s="28"/>
      <c r="EAF219" s="28"/>
      <c r="EAG219" s="28"/>
      <c r="EAH219" s="28"/>
      <c r="EAI219" s="28"/>
      <c r="EAJ219" s="28"/>
      <c r="EAK219" s="28"/>
      <c r="EAL219" s="28"/>
      <c r="EAM219" s="28"/>
      <c r="EAN219" s="28"/>
      <c r="EAO219" s="28"/>
      <c r="EAP219" s="28"/>
      <c r="EAQ219" s="28"/>
      <c r="EAR219" s="28"/>
      <c r="EAS219" s="28"/>
      <c r="EAT219" s="28"/>
      <c r="EAU219" s="28"/>
      <c r="EAV219" s="28"/>
      <c r="EAW219" s="28"/>
      <c r="EAX219" s="28"/>
      <c r="EAY219" s="28"/>
      <c r="EAZ219" s="28"/>
      <c r="EBA219" s="28"/>
      <c r="EBB219" s="28"/>
      <c r="EBC219" s="28"/>
      <c r="EBD219" s="28"/>
      <c r="EBE219" s="28"/>
      <c r="EBF219" s="28"/>
      <c r="EBG219" s="28"/>
      <c r="EBH219" s="28"/>
      <c r="EBI219" s="28"/>
      <c r="EBJ219" s="28"/>
      <c r="EBK219" s="28"/>
      <c r="EBL219" s="28"/>
      <c r="EBM219" s="28"/>
      <c r="EBN219" s="28"/>
      <c r="EBO219" s="28"/>
      <c r="EBP219" s="28"/>
      <c r="EBQ219" s="28"/>
      <c r="EBR219" s="28"/>
      <c r="EBS219" s="28"/>
      <c r="EBT219" s="28"/>
      <c r="EBU219" s="28"/>
      <c r="EBV219" s="28"/>
      <c r="EBW219" s="28"/>
      <c r="EBX219" s="28"/>
      <c r="EBY219" s="28"/>
      <c r="EBZ219" s="28"/>
      <c r="ECA219" s="28"/>
      <c r="ECB219" s="28"/>
      <c r="ECC219" s="28"/>
      <c r="ECD219" s="28"/>
      <c r="ECE219" s="28"/>
      <c r="ECF219" s="28"/>
      <c r="ECG219" s="28"/>
      <c r="ECH219" s="28"/>
      <c r="ECI219" s="28"/>
      <c r="ECJ219" s="28"/>
      <c r="ECK219" s="28"/>
      <c r="ECL219" s="28"/>
      <c r="ECM219" s="28"/>
      <c r="ECN219" s="28"/>
      <c r="ECO219" s="28"/>
      <c r="ECP219" s="28"/>
      <c r="ECQ219" s="28"/>
      <c r="ECR219" s="28"/>
      <c r="ECS219" s="28"/>
      <c r="ECT219" s="28"/>
      <c r="ECU219" s="28"/>
      <c r="ECV219" s="28"/>
      <c r="ECW219" s="28"/>
      <c r="ECX219" s="28"/>
      <c r="ECY219" s="28"/>
      <c r="ECZ219" s="28"/>
      <c r="EDA219" s="28"/>
      <c r="EDB219" s="28"/>
      <c r="EDC219" s="28"/>
      <c r="EDD219" s="28"/>
      <c r="EDE219" s="28"/>
      <c r="EDF219" s="28"/>
      <c r="EDG219" s="28"/>
      <c r="EDH219" s="28"/>
      <c r="EDI219" s="28"/>
      <c r="EDJ219" s="28"/>
      <c r="EDK219" s="28"/>
      <c r="EDL219" s="28"/>
      <c r="EDM219" s="28"/>
      <c r="EDN219" s="28"/>
      <c r="EDO219" s="28"/>
      <c r="EDP219" s="28"/>
      <c r="EDQ219" s="28"/>
      <c r="EDR219" s="28"/>
      <c r="EDS219" s="28"/>
      <c r="EDT219" s="28"/>
      <c r="EDU219" s="28"/>
      <c r="EDV219" s="28"/>
      <c r="EDW219" s="28"/>
      <c r="EDX219" s="28"/>
      <c r="EDY219" s="28"/>
      <c r="EDZ219" s="28"/>
      <c r="EEA219" s="28"/>
      <c r="EEB219" s="28"/>
      <c r="EEC219" s="28"/>
      <c r="EED219" s="28"/>
      <c r="EEE219" s="28"/>
      <c r="EEF219" s="28"/>
      <c r="EEG219" s="28"/>
      <c r="EEH219" s="28"/>
      <c r="EEI219" s="28"/>
      <c r="EEJ219" s="28"/>
      <c r="EEK219" s="28"/>
      <c r="EEL219" s="28"/>
      <c r="EEM219" s="28"/>
      <c r="EEN219" s="28"/>
      <c r="EEO219" s="28"/>
      <c r="EEP219" s="28"/>
      <c r="EEQ219" s="28"/>
      <c r="EER219" s="28"/>
      <c r="EES219" s="28"/>
      <c r="EET219" s="28"/>
      <c r="EEU219" s="28"/>
      <c r="EEV219" s="28"/>
      <c r="EEW219" s="28"/>
      <c r="EEX219" s="28"/>
      <c r="EEY219" s="28"/>
      <c r="EEZ219" s="28"/>
      <c r="EFA219" s="28"/>
      <c r="EFB219" s="28"/>
      <c r="EFC219" s="28"/>
      <c r="EFD219" s="28"/>
      <c r="EFE219" s="28"/>
      <c r="EFF219" s="28"/>
      <c r="EFG219" s="28"/>
      <c r="EFH219" s="28"/>
      <c r="EFI219" s="28"/>
      <c r="EFJ219" s="28"/>
      <c r="EFK219" s="28"/>
      <c r="EFL219" s="28"/>
      <c r="EFM219" s="28"/>
      <c r="EFN219" s="28"/>
      <c r="EFO219" s="28"/>
      <c r="EFP219" s="28"/>
      <c r="EFQ219" s="28"/>
      <c r="EFR219" s="28"/>
      <c r="EFS219" s="28"/>
      <c r="EFT219" s="28"/>
      <c r="EFU219" s="28"/>
      <c r="EFV219" s="28"/>
      <c r="EFW219" s="28"/>
      <c r="EFX219" s="28"/>
      <c r="EFY219" s="28"/>
      <c r="EFZ219" s="28"/>
      <c r="EGA219" s="28"/>
      <c r="EGB219" s="28"/>
      <c r="EGC219" s="28"/>
      <c r="EGD219" s="28"/>
      <c r="EGE219" s="28"/>
      <c r="EGF219" s="28"/>
      <c r="EGG219" s="28"/>
      <c r="EGH219" s="28"/>
      <c r="EGI219" s="28"/>
      <c r="EGJ219" s="28"/>
      <c r="EGK219" s="28"/>
      <c r="EGL219" s="28"/>
      <c r="EGM219" s="28"/>
      <c r="EGN219" s="28"/>
      <c r="EGO219" s="28"/>
      <c r="EGP219" s="28"/>
      <c r="EGQ219" s="28"/>
      <c r="EGR219" s="28"/>
      <c r="EGS219" s="28"/>
      <c r="EGT219" s="28"/>
      <c r="EGU219" s="28"/>
      <c r="EGV219" s="28"/>
      <c r="EGW219" s="28"/>
      <c r="EGX219" s="28"/>
      <c r="EGY219" s="28"/>
      <c r="EGZ219" s="28"/>
      <c r="EHA219" s="28"/>
      <c r="EHB219" s="28"/>
      <c r="EHC219" s="28"/>
      <c r="EHD219" s="28"/>
      <c r="EHE219" s="28"/>
      <c r="EHF219" s="28"/>
      <c r="EHG219" s="28"/>
      <c r="EHH219" s="28"/>
      <c r="EHI219" s="28"/>
      <c r="EHJ219" s="28"/>
      <c r="EHK219" s="28"/>
      <c r="EHL219" s="28"/>
      <c r="EHM219" s="28"/>
      <c r="EHN219" s="28"/>
      <c r="EHO219" s="28"/>
      <c r="EHP219" s="28"/>
      <c r="EHQ219" s="28"/>
      <c r="EHR219" s="28"/>
      <c r="EHS219" s="28"/>
      <c r="EHT219" s="28"/>
      <c r="EHU219" s="28"/>
      <c r="EHV219" s="28"/>
      <c r="EHW219" s="28"/>
      <c r="EHX219" s="28"/>
      <c r="EHY219" s="28"/>
      <c r="EHZ219" s="28"/>
      <c r="EIA219" s="28"/>
      <c r="EIB219" s="28"/>
      <c r="EIC219" s="28"/>
      <c r="EID219" s="28"/>
      <c r="EIE219" s="28"/>
      <c r="EIF219" s="28"/>
      <c r="EIG219" s="28"/>
      <c r="EIH219" s="28"/>
      <c r="EII219" s="28"/>
      <c r="EIJ219" s="28"/>
      <c r="EIK219" s="28"/>
      <c r="EIL219" s="28"/>
      <c r="EIM219" s="28"/>
      <c r="EIN219" s="28"/>
      <c r="EIO219" s="28"/>
      <c r="EIP219" s="28"/>
      <c r="EIQ219" s="28"/>
      <c r="EIR219" s="28"/>
      <c r="EIS219" s="28"/>
      <c r="EIT219" s="28"/>
      <c r="EIU219" s="28"/>
      <c r="EIV219" s="28"/>
      <c r="EIW219" s="28"/>
      <c r="EIX219" s="28"/>
      <c r="EIY219" s="28"/>
      <c r="EIZ219" s="28"/>
      <c r="EJA219" s="28"/>
      <c r="EJB219" s="28"/>
      <c r="EJC219" s="28"/>
      <c r="EJD219" s="28"/>
      <c r="EJE219" s="28"/>
      <c r="EJF219" s="28"/>
      <c r="EJG219" s="28"/>
      <c r="EJH219" s="28"/>
      <c r="EJI219" s="28"/>
      <c r="EJJ219" s="28"/>
      <c r="EJK219" s="28"/>
      <c r="EJL219" s="28"/>
      <c r="EJM219" s="28"/>
      <c r="EJN219" s="28"/>
      <c r="EJO219" s="28"/>
      <c r="EJP219" s="28"/>
      <c r="EJQ219" s="28"/>
      <c r="EJR219" s="28"/>
      <c r="EJS219" s="28"/>
      <c r="EJT219" s="28"/>
      <c r="EJU219" s="28"/>
      <c r="EJV219" s="28"/>
      <c r="EJW219" s="28"/>
      <c r="EJX219" s="28"/>
      <c r="EJY219" s="28"/>
      <c r="EJZ219" s="28"/>
      <c r="EKA219" s="28"/>
      <c r="EKB219" s="28"/>
      <c r="EKC219" s="28"/>
      <c r="EKD219" s="28"/>
      <c r="EKE219" s="28"/>
      <c r="EKF219" s="28"/>
      <c r="EKG219" s="28"/>
      <c r="EKH219" s="28"/>
      <c r="EKI219" s="28"/>
      <c r="EKJ219" s="28"/>
      <c r="EKK219" s="28"/>
      <c r="EKL219" s="28"/>
      <c r="EKM219" s="28"/>
      <c r="EKN219" s="28"/>
      <c r="EKO219" s="28"/>
      <c r="EKP219" s="28"/>
      <c r="EKQ219" s="28"/>
      <c r="EKR219" s="28"/>
      <c r="EKS219" s="28"/>
      <c r="EKT219" s="28"/>
      <c r="EKU219" s="28"/>
      <c r="EKV219" s="28"/>
      <c r="EKW219" s="28"/>
      <c r="EKX219" s="28"/>
      <c r="EKY219" s="28"/>
      <c r="EKZ219" s="28"/>
      <c r="ELA219" s="28"/>
      <c r="ELB219" s="28"/>
      <c r="ELC219" s="28"/>
      <c r="ELD219" s="28"/>
      <c r="ELE219" s="28"/>
      <c r="ELF219" s="28"/>
      <c r="ELG219" s="28"/>
      <c r="ELH219" s="28"/>
      <c r="ELI219" s="28"/>
      <c r="ELJ219" s="28"/>
      <c r="ELK219" s="28"/>
      <c r="ELL219" s="28"/>
      <c r="ELM219" s="28"/>
      <c r="ELN219" s="28"/>
      <c r="ELO219" s="28"/>
      <c r="ELP219" s="28"/>
      <c r="ELQ219" s="28"/>
      <c r="ELR219" s="28"/>
      <c r="ELS219" s="28"/>
      <c r="ELT219" s="28"/>
      <c r="ELU219" s="28"/>
      <c r="ELV219" s="28"/>
      <c r="ELW219" s="28"/>
      <c r="ELX219" s="28"/>
      <c r="ELY219" s="28"/>
      <c r="ELZ219" s="28"/>
      <c r="EMA219" s="28"/>
      <c r="EMB219" s="28"/>
      <c r="EMC219" s="28"/>
      <c r="EMD219" s="28"/>
      <c r="EME219" s="28"/>
      <c r="EMF219" s="28"/>
      <c r="EMG219" s="28"/>
      <c r="EMH219" s="28"/>
      <c r="EMI219" s="28"/>
      <c r="EMJ219" s="28"/>
      <c r="EMK219" s="28"/>
      <c r="EML219" s="28"/>
      <c r="EMM219" s="28"/>
      <c r="EMN219" s="28"/>
      <c r="EMO219" s="28"/>
      <c r="EMP219" s="28"/>
      <c r="EMQ219" s="28"/>
      <c r="EMR219" s="28"/>
      <c r="EMS219" s="28"/>
      <c r="EMT219" s="28"/>
      <c r="EMU219" s="28"/>
      <c r="EMV219" s="28"/>
      <c r="EMW219" s="28"/>
      <c r="EMX219" s="28"/>
      <c r="EMY219" s="28"/>
      <c r="EMZ219" s="28"/>
      <c r="ENA219" s="28"/>
      <c r="ENB219" s="28"/>
      <c r="ENC219" s="28"/>
      <c r="END219" s="28"/>
      <c r="ENE219" s="28"/>
      <c r="ENF219" s="28"/>
      <c r="ENG219" s="28"/>
      <c r="ENH219" s="28"/>
      <c r="ENI219" s="28"/>
      <c r="ENJ219" s="28"/>
      <c r="ENK219" s="28"/>
      <c r="ENL219" s="28"/>
      <c r="ENM219" s="28"/>
      <c r="ENN219" s="28"/>
      <c r="ENO219" s="28"/>
      <c r="ENP219" s="28"/>
      <c r="ENQ219" s="28"/>
      <c r="ENR219" s="28"/>
      <c r="ENS219" s="28"/>
      <c r="ENT219" s="28"/>
      <c r="ENU219" s="28"/>
      <c r="ENV219" s="28"/>
      <c r="ENW219" s="28"/>
      <c r="ENX219" s="28"/>
      <c r="ENY219" s="28"/>
      <c r="ENZ219" s="28"/>
      <c r="EOA219" s="28"/>
      <c r="EOB219" s="28"/>
      <c r="EOC219" s="28"/>
      <c r="EOD219" s="28"/>
      <c r="EOE219" s="28"/>
      <c r="EOF219" s="28"/>
      <c r="EOG219" s="28"/>
      <c r="EOH219" s="28"/>
      <c r="EOI219" s="28"/>
      <c r="EOJ219" s="28"/>
      <c r="EOK219" s="28"/>
      <c r="EOL219" s="28"/>
      <c r="EOM219" s="28"/>
      <c r="EON219" s="28"/>
      <c r="EOO219" s="28"/>
      <c r="EOP219" s="28"/>
      <c r="EOQ219" s="28"/>
      <c r="EOR219" s="28"/>
      <c r="EOS219" s="28"/>
      <c r="EOT219" s="28"/>
      <c r="EOU219" s="28"/>
      <c r="EOV219" s="28"/>
      <c r="EOW219" s="28"/>
      <c r="EOX219" s="28"/>
      <c r="EOY219" s="28"/>
      <c r="EOZ219" s="28"/>
      <c r="EPA219" s="28"/>
      <c r="EPB219" s="28"/>
      <c r="EPC219" s="28"/>
      <c r="EPD219" s="28"/>
      <c r="EPE219" s="28"/>
      <c r="EPF219" s="28"/>
      <c r="EPG219" s="28"/>
      <c r="EPH219" s="28"/>
      <c r="EPI219" s="28"/>
      <c r="EPJ219" s="28"/>
      <c r="EPK219" s="28"/>
      <c r="EPL219" s="28"/>
      <c r="EPM219" s="28"/>
      <c r="EPN219" s="28"/>
      <c r="EPO219" s="28"/>
      <c r="EPP219" s="28"/>
      <c r="EPQ219" s="28"/>
      <c r="EPR219" s="28"/>
      <c r="EPS219" s="28"/>
      <c r="EPT219" s="28"/>
      <c r="EPU219" s="28"/>
      <c r="EPV219" s="28"/>
      <c r="EPW219" s="28"/>
      <c r="EPX219" s="28"/>
      <c r="EPY219" s="28"/>
      <c r="EPZ219" s="28"/>
      <c r="EQA219" s="28"/>
      <c r="EQB219" s="28"/>
      <c r="EQC219" s="28"/>
      <c r="EQD219" s="28"/>
      <c r="EQE219" s="28"/>
      <c r="EQF219" s="28"/>
      <c r="EQG219" s="28"/>
      <c r="EQH219" s="28"/>
      <c r="EQI219" s="28"/>
      <c r="EQJ219" s="28"/>
      <c r="EQK219" s="28"/>
      <c r="EQL219" s="28"/>
      <c r="EQM219" s="28"/>
      <c r="EQN219" s="28"/>
      <c r="EQO219" s="28"/>
      <c r="EQP219" s="28"/>
      <c r="EQQ219" s="28"/>
      <c r="EQR219" s="28"/>
      <c r="EQS219" s="28"/>
      <c r="EQT219" s="28"/>
      <c r="EQU219" s="28"/>
      <c r="EQV219" s="28"/>
      <c r="EQW219" s="28"/>
      <c r="EQX219" s="28"/>
      <c r="EQY219" s="28"/>
      <c r="EQZ219" s="28"/>
      <c r="ERA219" s="28"/>
      <c r="ERB219" s="28"/>
      <c r="ERC219" s="28"/>
      <c r="ERD219" s="28"/>
      <c r="ERE219" s="28"/>
      <c r="ERF219" s="28"/>
      <c r="ERG219" s="28"/>
      <c r="ERH219" s="28"/>
      <c r="ERI219" s="28"/>
      <c r="ERJ219" s="28"/>
      <c r="ERK219" s="28"/>
      <c r="ERL219" s="28"/>
      <c r="ERM219" s="28"/>
      <c r="ERN219" s="28"/>
      <c r="ERO219" s="28"/>
      <c r="ERP219" s="28"/>
      <c r="ERQ219" s="28"/>
      <c r="ERR219" s="28"/>
      <c r="ERS219" s="28"/>
      <c r="ERT219" s="28"/>
      <c r="ERU219" s="28"/>
      <c r="ERV219" s="28"/>
      <c r="ERW219" s="28"/>
      <c r="ERX219" s="28"/>
      <c r="ERY219" s="28"/>
      <c r="ERZ219" s="28"/>
      <c r="ESA219" s="28"/>
      <c r="ESB219" s="28"/>
      <c r="ESC219" s="28"/>
      <c r="ESD219" s="28"/>
      <c r="ESE219" s="28"/>
      <c r="ESF219" s="28"/>
      <c r="ESG219" s="28"/>
      <c r="ESH219" s="28"/>
      <c r="ESI219" s="28"/>
      <c r="ESJ219" s="28"/>
      <c r="ESK219" s="28"/>
      <c r="ESL219" s="28"/>
      <c r="ESM219" s="28"/>
      <c r="ESN219" s="28"/>
      <c r="ESO219" s="28"/>
      <c r="ESP219" s="28"/>
      <c r="ESQ219" s="28"/>
      <c r="ESR219" s="28"/>
      <c r="ESS219" s="28"/>
      <c r="EST219" s="28"/>
      <c r="ESU219" s="28"/>
      <c r="ESV219" s="28"/>
      <c r="ESW219" s="28"/>
      <c r="ESX219" s="28"/>
      <c r="ESY219" s="28"/>
      <c r="ESZ219" s="28"/>
      <c r="ETA219" s="28"/>
      <c r="ETB219" s="28"/>
      <c r="ETC219" s="28"/>
      <c r="ETD219" s="28"/>
      <c r="ETE219" s="28"/>
      <c r="ETF219" s="28"/>
      <c r="ETG219" s="28"/>
      <c r="ETH219" s="28"/>
      <c r="ETI219" s="28"/>
      <c r="ETJ219" s="28"/>
      <c r="ETK219" s="28"/>
      <c r="ETL219" s="28"/>
      <c r="ETM219" s="28"/>
      <c r="ETN219" s="28"/>
      <c r="ETO219" s="28"/>
      <c r="ETP219" s="28"/>
      <c r="ETQ219" s="28"/>
      <c r="ETR219" s="28"/>
      <c r="ETS219" s="28"/>
      <c r="ETT219" s="28"/>
      <c r="ETU219" s="28"/>
      <c r="ETV219" s="28"/>
      <c r="ETW219" s="28"/>
      <c r="ETX219" s="28"/>
      <c r="ETY219" s="28"/>
      <c r="ETZ219" s="28"/>
      <c r="EUA219" s="28"/>
      <c r="EUB219" s="28"/>
      <c r="EUC219" s="28"/>
      <c r="EUD219" s="28"/>
      <c r="EUE219" s="28"/>
      <c r="EUF219" s="28"/>
      <c r="EUG219" s="28"/>
      <c r="EUH219" s="28"/>
      <c r="EUI219" s="28"/>
      <c r="EUJ219" s="28"/>
      <c r="EUK219" s="28"/>
      <c r="EUL219" s="28"/>
      <c r="EUM219" s="28"/>
      <c r="EUN219" s="28"/>
      <c r="EUO219" s="28"/>
      <c r="EUP219" s="28"/>
      <c r="EUQ219" s="28"/>
      <c r="EUR219" s="28"/>
      <c r="EUS219" s="28"/>
      <c r="EUT219" s="28"/>
      <c r="EUU219" s="28"/>
      <c r="EUV219" s="28"/>
      <c r="EUW219" s="28"/>
      <c r="EUX219" s="28"/>
      <c r="EUY219" s="28"/>
      <c r="EUZ219" s="28"/>
      <c r="EVA219" s="28"/>
      <c r="EVB219" s="28"/>
      <c r="EVC219" s="28"/>
      <c r="EVD219" s="28"/>
      <c r="EVE219" s="28"/>
      <c r="EVF219" s="28"/>
      <c r="EVG219" s="28"/>
      <c r="EVH219" s="28"/>
      <c r="EVI219" s="28"/>
      <c r="EVJ219" s="28"/>
      <c r="EVK219" s="28"/>
      <c r="EVL219" s="28"/>
      <c r="EVM219" s="28"/>
      <c r="EVN219" s="28"/>
      <c r="EVO219" s="28"/>
      <c r="EVP219" s="28"/>
      <c r="EVQ219" s="28"/>
      <c r="EVR219" s="28"/>
      <c r="EVS219" s="28"/>
      <c r="EVT219" s="28"/>
      <c r="EVU219" s="28"/>
      <c r="EVV219" s="28"/>
      <c r="EVW219" s="28"/>
      <c r="EVX219" s="28"/>
      <c r="EVY219" s="28"/>
      <c r="EVZ219" s="28"/>
      <c r="EWA219" s="28"/>
      <c r="EWB219" s="28"/>
      <c r="EWC219" s="28"/>
      <c r="EWD219" s="28"/>
      <c r="EWE219" s="28"/>
      <c r="EWF219" s="28"/>
      <c r="EWG219" s="28"/>
      <c r="EWH219" s="28"/>
      <c r="EWI219" s="28"/>
      <c r="EWJ219" s="28"/>
      <c r="EWK219" s="28"/>
      <c r="EWL219" s="28"/>
      <c r="EWM219" s="28"/>
      <c r="EWN219" s="28"/>
      <c r="EWO219" s="28"/>
      <c r="EWP219" s="28"/>
      <c r="EWQ219" s="28"/>
      <c r="EWR219" s="28"/>
      <c r="EWS219" s="28"/>
      <c r="EWT219" s="28"/>
      <c r="EWU219" s="28"/>
      <c r="EWV219" s="28"/>
      <c r="EWW219" s="28"/>
      <c r="EWX219" s="28"/>
      <c r="EWY219" s="28"/>
      <c r="EWZ219" s="28"/>
      <c r="EXA219" s="28"/>
      <c r="EXB219" s="28"/>
      <c r="EXC219" s="28"/>
      <c r="EXD219" s="28"/>
      <c r="EXE219" s="28"/>
      <c r="EXF219" s="28"/>
      <c r="EXG219" s="28"/>
      <c r="EXH219" s="28"/>
      <c r="EXI219" s="28"/>
      <c r="EXJ219" s="28"/>
      <c r="EXK219" s="28"/>
      <c r="EXL219" s="28"/>
      <c r="EXM219" s="28"/>
      <c r="EXN219" s="28"/>
      <c r="EXO219" s="28"/>
      <c r="EXP219" s="28"/>
      <c r="EXQ219" s="28"/>
      <c r="EXR219" s="28"/>
      <c r="EXS219" s="28"/>
      <c r="EXT219" s="28"/>
      <c r="EXU219" s="28"/>
      <c r="EXV219" s="28"/>
      <c r="EXW219" s="28"/>
      <c r="EXX219" s="28"/>
      <c r="EXY219" s="28"/>
      <c r="EXZ219" s="28"/>
      <c r="EYA219" s="28"/>
      <c r="EYB219" s="28"/>
      <c r="EYC219" s="28"/>
      <c r="EYD219" s="28"/>
      <c r="EYE219" s="28"/>
      <c r="EYF219" s="28"/>
      <c r="EYG219" s="28"/>
      <c r="EYH219" s="28"/>
      <c r="EYI219" s="28"/>
      <c r="EYJ219" s="28"/>
      <c r="EYK219" s="28"/>
      <c r="EYL219" s="28"/>
      <c r="EYM219" s="28"/>
      <c r="EYN219" s="28"/>
      <c r="EYO219" s="28"/>
      <c r="EYP219" s="28"/>
      <c r="EYQ219" s="28"/>
      <c r="EYR219" s="28"/>
      <c r="EYS219" s="28"/>
      <c r="EYT219" s="28"/>
      <c r="EYU219" s="28"/>
      <c r="EYV219" s="28"/>
      <c r="EYW219" s="28"/>
      <c r="EYX219" s="28"/>
      <c r="EYY219" s="28"/>
      <c r="EYZ219" s="28"/>
      <c r="EZA219" s="28"/>
      <c r="EZB219" s="28"/>
      <c r="EZC219" s="28"/>
      <c r="EZD219" s="28"/>
      <c r="EZE219" s="28"/>
      <c r="EZF219" s="28"/>
      <c r="EZG219" s="28"/>
      <c r="EZH219" s="28"/>
      <c r="EZI219" s="28"/>
      <c r="EZJ219" s="28"/>
      <c r="EZK219" s="28"/>
      <c r="EZL219" s="28"/>
      <c r="EZM219" s="28"/>
      <c r="EZN219" s="28"/>
      <c r="EZO219" s="28"/>
      <c r="EZP219" s="28"/>
      <c r="EZQ219" s="28"/>
      <c r="EZR219" s="28"/>
      <c r="EZS219" s="28"/>
      <c r="EZT219" s="28"/>
      <c r="EZU219" s="28"/>
      <c r="EZV219" s="28"/>
      <c r="EZW219" s="28"/>
      <c r="EZX219" s="28"/>
      <c r="EZY219" s="28"/>
      <c r="EZZ219" s="28"/>
      <c r="FAA219" s="28"/>
      <c r="FAB219" s="28"/>
      <c r="FAC219" s="28"/>
      <c r="FAD219" s="28"/>
      <c r="FAE219" s="28"/>
      <c r="FAF219" s="28"/>
      <c r="FAG219" s="28"/>
      <c r="FAH219" s="28"/>
      <c r="FAI219" s="28"/>
      <c r="FAJ219" s="28"/>
      <c r="FAK219" s="28"/>
      <c r="FAL219" s="28"/>
      <c r="FAM219" s="28"/>
      <c r="FAN219" s="28"/>
      <c r="FAO219" s="28"/>
      <c r="FAP219" s="28"/>
      <c r="FAQ219" s="28"/>
      <c r="FAR219" s="28"/>
      <c r="FAS219" s="28"/>
      <c r="FAT219" s="28"/>
      <c r="FAU219" s="28"/>
      <c r="FAV219" s="28"/>
      <c r="FAW219" s="28"/>
      <c r="FAX219" s="28"/>
      <c r="FAY219" s="28"/>
      <c r="FAZ219" s="28"/>
      <c r="FBA219" s="28"/>
      <c r="FBB219" s="28"/>
      <c r="FBC219" s="28"/>
      <c r="FBD219" s="28"/>
      <c r="FBE219" s="28"/>
      <c r="FBF219" s="28"/>
      <c r="FBG219" s="28"/>
      <c r="FBH219" s="28"/>
      <c r="FBI219" s="28"/>
      <c r="FBJ219" s="28"/>
      <c r="FBK219" s="28"/>
      <c r="FBL219" s="28"/>
      <c r="FBM219" s="28"/>
      <c r="FBN219" s="28"/>
      <c r="FBO219" s="28"/>
      <c r="FBP219" s="28"/>
      <c r="FBQ219" s="28"/>
      <c r="FBR219" s="28"/>
      <c r="FBS219" s="28"/>
      <c r="FBT219" s="28"/>
      <c r="FBU219" s="28"/>
      <c r="FBV219" s="28"/>
      <c r="FBW219" s="28"/>
      <c r="FBX219" s="28"/>
      <c r="FBY219" s="28"/>
      <c r="FBZ219" s="28"/>
      <c r="FCA219" s="28"/>
      <c r="FCB219" s="28"/>
      <c r="FCC219" s="28"/>
      <c r="FCD219" s="28"/>
      <c r="FCE219" s="28"/>
      <c r="FCF219" s="28"/>
      <c r="FCG219" s="28"/>
      <c r="FCH219" s="28"/>
      <c r="FCI219" s="28"/>
      <c r="FCJ219" s="28"/>
      <c r="FCK219" s="28"/>
      <c r="FCL219" s="28"/>
      <c r="FCM219" s="28"/>
      <c r="FCN219" s="28"/>
      <c r="FCO219" s="28"/>
      <c r="FCP219" s="28"/>
      <c r="FCQ219" s="28"/>
      <c r="FCR219" s="28"/>
      <c r="FCS219" s="28"/>
      <c r="FCT219" s="28"/>
      <c r="FCU219" s="28"/>
      <c r="FCV219" s="28"/>
      <c r="FCW219" s="28"/>
      <c r="FCX219" s="28"/>
      <c r="FCY219" s="28"/>
      <c r="FCZ219" s="28"/>
      <c r="FDA219" s="28"/>
      <c r="FDB219" s="28"/>
      <c r="FDC219" s="28"/>
      <c r="FDD219" s="28"/>
      <c r="FDE219" s="28"/>
      <c r="FDF219" s="28"/>
      <c r="FDG219" s="28"/>
      <c r="FDH219" s="28"/>
      <c r="FDI219" s="28"/>
      <c r="FDJ219" s="28"/>
      <c r="FDK219" s="28"/>
      <c r="FDL219" s="28"/>
      <c r="FDM219" s="28"/>
      <c r="FDN219" s="28"/>
      <c r="FDO219" s="28"/>
      <c r="FDP219" s="28"/>
      <c r="FDQ219" s="28"/>
      <c r="FDR219" s="28"/>
      <c r="FDS219" s="28"/>
      <c r="FDT219" s="28"/>
      <c r="FDU219" s="28"/>
      <c r="FDV219" s="28"/>
      <c r="FDW219" s="28"/>
      <c r="FDX219" s="28"/>
      <c r="FDY219" s="28"/>
      <c r="FDZ219" s="28"/>
      <c r="FEA219" s="28"/>
      <c r="FEB219" s="28"/>
      <c r="FEC219" s="28"/>
      <c r="FED219" s="28"/>
      <c r="FEE219" s="28"/>
      <c r="FEF219" s="28"/>
      <c r="FEG219" s="28"/>
      <c r="FEH219" s="28"/>
      <c r="FEI219" s="28"/>
      <c r="FEJ219" s="28"/>
      <c r="FEK219" s="28"/>
      <c r="FEL219" s="28"/>
      <c r="FEM219" s="28"/>
      <c r="FEN219" s="28"/>
      <c r="FEO219" s="28"/>
      <c r="FEP219" s="28"/>
      <c r="FEQ219" s="28"/>
      <c r="FER219" s="28"/>
      <c r="FES219" s="28"/>
      <c r="FET219" s="28"/>
      <c r="FEU219" s="28"/>
      <c r="FEV219" s="28"/>
      <c r="FEW219" s="28"/>
      <c r="FEX219" s="28"/>
      <c r="FEY219" s="28"/>
      <c r="FEZ219" s="28"/>
      <c r="FFA219" s="28"/>
      <c r="FFB219" s="28"/>
      <c r="FFC219" s="28"/>
      <c r="FFD219" s="28"/>
      <c r="FFE219" s="28"/>
      <c r="FFF219" s="28"/>
      <c r="FFG219" s="28"/>
      <c r="FFH219" s="28"/>
      <c r="FFI219" s="28"/>
      <c r="FFJ219" s="28"/>
      <c r="FFK219" s="28"/>
      <c r="FFL219" s="28"/>
      <c r="FFM219" s="28"/>
      <c r="FFN219" s="28"/>
      <c r="FFO219" s="28"/>
      <c r="FFP219" s="28"/>
      <c r="FFQ219" s="28"/>
      <c r="FFR219" s="28"/>
      <c r="FFS219" s="28"/>
      <c r="FFT219" s="28"/>
      <c r="FFU219" s="28"/>
      <c r="FFV219" s="28"/>
      <c r="FFW219" s="28"/>
      <c r="FFX219" s="28"/>
      <c r="FFY219" s="28"/>
      <c r="FFZ219" s="28"/>
      <c r="FGA219" s="28"/>
      <c r="FGB219" s="28"/>
      <c r="FGC219" s="28"/>
      <c r="FGD219" s="28"/>
      <c r="FGE219" s="28"/>
      <c r="FGF219" s="28"/>
      <c r="FGG219" s="28"/>
      <c r="FGH219" s="28"/>
      <c r="FGI219" s="28"/>
      <c r="FGJ219" s="28"/>
      <c r="FGK219" s="28"/>
      <c r="FGL219" s="28"/>
      <c r="FGM219" s="28"/>
      <c r="FGN219" s="28"/>
      <c r="FGO219" s="28"/>
      <c r="FGP219" s="28"/>
      <c r="FGQ219" s="28"/>
      <c r="FGR219" s="28"/>
      <c r="FGS219" s="28"/>
      <c r="FGT219" s="28"/>
      <c r="FGU219" s="28"/>
      <c r="FGV219" s="28"/>
      <c r="FGW219" s="28"/>
      <c r="FGX219" s="28"/>
      <c r="FGY219" s="28"/>
      <c r="FGZ219" s="28"/>
      <c r="FHA219" s="28"/>
      <c r="FHB219" s="28"/>
      <c r="FHC219" s="28"/>
      <c r="FHD219" s="28"/>
      <c r="FHE219" s="28"/>
      <c r="FHF219" s="28"/>
      <c r="FHG219" s="28"/>
      <c r="FHH219" s="28"/>
      <c r="FHI219" s="28"/>
      <c r="FHJ219" s="28"/>
      <c r="FHK219" s="28"/>
      <c r="FHL219" s="28"/>
      <c r="FHM219" s="28"/>
      <c r="FHN219" s="28"/>
      <c r="FHO219" s="28"/>
      <c r="FHP219" s="28"/>
      <c r="FHQ219" s="28"/>
      <c r="FHR219" s="28"/>
      <c r="FHS219" s="28"/>
      <c r="FHT219" s="28"/>
      <c r="FHU219" s="28"/>
      <c r="FHV219" s="28"/>
      <c r="FHW219" s="28"/>
      <c r="FHX219" s="28"/>
      <c r="FHY219" s="28"/>
      <c r="FHZ219" s="28"/>
      <c r="FIA219" s="28"/>
      <c r="FIB219" s="28"/>
      <c r="FIC219" s="28"/>
      <c r="FID219" s="28"/>
      <c r="FIE219" s="28"/>
      <c r="FIF219" s="28"/>
      <c r="FIG219" s="28"/>
      <c r="FIH219" s="28"/>
      <c r="FII219" s="28"/>
      <c r="FIJ219" s="28"/>
      <c r="FIK219" s="28"/>
      <c r="FIL219" s="28"/>
      <c r="FIM219" s="28"/>
      <c r="FIN219" s="28"/>
      <c r="FIO219" s="28"/>
      <c r="FIP219" s="28"/>
      <c r="FIQ219" s="28"/>
      <c r="FIR219" s="28"/>
      <c r="FIS219" s="28"/>
      <c r="FIT219" s="28"/>
      <c r="FIU219" s="28"/>
      <c r="FIV219" s="28"/>
      <c r="FIW219" s="28"/>
      <c r="FIX219" s="28"/>
      <c r="FIY219" s="28"/>
      <c r="FIZ219" s="28"/>
      <c r="FJA219" s="28"/>
      <c r="FJB219" s="28"/>
      <c r="FJC219" s="28"/>
      <c r="FJD219" s="28"/>
      <c r="FJE219" s="28"/>
      <c r="FJF219" s="28"/>
      <c r="FJG219" s="28"/>
      <c r="FJH219" s="28"/>
      <c r="FJI219" s="28"/>
      <c r="FJJ219" s="28"/>
      <c r="FJK219" s="28"/>
      <c r="FJL219" s="28"/>
      <c r="FJM219" s="28"/>
      <c r="FJN219" s="28"/>
      <c r="FJO219" s="28"/>
      <c r="FJP219" s="28"/>
      <c r="FJQ219" s="28"/>
      <c r="FJR219" s="28"/>
      <c r="FJS219" s="28"/>
      <c r="FJT219" s="28"/>
      <c r="FJU219" s="28"/>
      <c r="FJV219" s="28"/>
      <c r="FJW219" s="28"/>
      <c r="FJX219" s="28"/>
      <c r="FJY219" s="28"/>
      <c r="FJZ219" s="28"/>
      <c r="FKA219" s="28"/>
      <c r="FKB219" s="28"/>
      <c r="FKC219" s="28"/>
      <c r="FKD219" s="28"/>
      <c r="FKE219" s="28"/>
      <c r="FKF219" s="28"/>
      <c r="FKG219" s="28"/>
      <c r="FKH219" s="28"/>
      <c r="FKI219" s="28"/>
      <c r="FKJ219" s="28"/>
      <c r="FKK219" s="28"/>
      <c r="FKL219" s="28"/>
      <c r="FKM219" s="28"/>
      <c r="FKN219" s="28"/>
      <c r="FKO219" s="28"/>
      <c r="FKP219" s="28"/>
      <c r="FKQ219" s="28"/>
      <c r="FKR219" s="28"/>
      <c r="FKS219" s="28"/>
      <c r="FKT219" s="28"/>
      <c r="FKU219" s="28"/>
      <c r="FKV219" s="28"/>
      <c r="FKW219" s="28"/>
      <c r="FKX219" s="28"/>
      <c r="FKY219" s="28"/>
      <c r="FKZ219" s="28"/>
      <c r="FLA219" s="28"/>
      <c r="FLB219" s="28"/>
      <c r="FLC219" s="28"/>
      <c r="FLD219" s="28"/>
      <c r="FLE219" s="28"/>
      <c r="FLF219" s="28"/>
      <c r="FLG219" s="28"/>
      <c r="FLH219" s="28"/>
      <c r="FLI219" s="28"/>
      <c r="FLJ219" s="28"/>
      <c r="FLK219" s="28"/>
      <c r="FLL219" s="28"/>
      <c r="FLM219" s="28"/>
      <c r="FLN219" s="28"/>
      <c r="FLO219" s="28"/>
      <c r="FLP219" s="28"/>
      <c r="FLQ219" s="28"/>
      <c r="FLR219" s="28"/>
      <c r="FLS219" s="28"/>
      <c r="FLT219" s="28"/>
      <c r="FLU219" s="28"/>
      <c r="FLV219" s="28"/>
      <c r="FLW219" s="28"/>
      <c r="FLX219" s="28"/>
      <c r="FLY219" s="28"/>
      <c r="FLZ219" s="28"/>
      <c r="FMA219" s="28"/>
      <c r="FMB219" s="28"/>
      <c r="FMC219" s="28"/>
      <c r="FMD219" s="28"/>
      <c r="FME219" s="28"/>
      <c r="FMF219" s="28"/>
      <c r="FMG219" s="28"/>
      <c r="FMH219" s="28"/>
      <c r="FMI219" s="28"/>
      <c r="FMJ219" s="28"/>
      <c r="FMK219" s="28"/>
      <c r="FML219" s="28"/>
      <c r="FMM219" s="28"/>
      <c r="FMN219" s="28"/>
      <c r="FMO219" s="28"/>
      <c r="FMP219" s="28"/>
      <c r="FMQ219" s="28"/>
      <c r="FMR219" s="28"/>
      <c r="FMS219" s="28"/>
      <c r="FMT219" s="28"/>
      <c r="FMU219" s="28"/>
      <c r="FMV219" s="28"/>
      <c r="FMW219" s="28"/>
      <c r="FMX219" s="28"/>
      <c r="FMY219" s="28"/>
      <c r="FMZ219" s="28"/>
      <c r="FNA219" s="28"/>
      <c r="FNB219" s="28"/>
      <c r="FNC219" s="28"/>
      <c r="FND219" s="28"/>
      <c r="FNE219" s="28"/>
      <c r="FNF219" s="28"/>
      <c r="FNG219" s="28"/>
      <c r="FNH219" s="28"/>
      <c r="FNI219" s="28"/>
      <c r="FNJ219" s="28"/>
      <c r="FNK219" s="28"/>
      <c r="FNL219" s="28"/>
      <c r="FNM219" s="28"/>
      <c r="FNN219" s="28"/>
      <c r="FNO219" s="28"/>
      <c r="FNP219" s="28"/>
      <c r="FNQ219" s="28"/>
      <c r="FNR219" s="28"/>
      <c r="FNS219" s="28"/>
      <c r="FNT219" s="28"/>
      <c r="FNU219" s="28"/>
      <c r="FNV219" s="28"/>
      <c r="FNW219" s="28"/>
      <c r="FNX219" s="28"/>
      <c r="FNY219" s="28"/>
      <c r="FNZ219" s="28"/>
      <c r="FOA219" s="28"/>
      <c r="FOB219" s="28"/>
      <c r="FOC219" s="28"/>
      <c r="FOD219" s="28"/>
      <c r="FOE219" s="28"/>
      <c r="FOF219" s="28"/>
      <c r="FOG219" s="28"/>
      <c r="FOH219" s="28"/>
      <c r="FOI219" s="28"/>
      <c r="FOJ219" s="28"/>
      <c r="FOK219" s="28"/>
      <c r="FOL219" s="28"/>
      <c r="FOM219" s="28"/>
      <c r="FON219" s="28"/>
      <c r="FOO219" s="28"/>
      <c r="FOP219" s="28"/>
      <c r="FOQ219" s="28"/>
      <c r="FOR219" s="28"/>
      <c r="FOS219" s="28"/>
      <c r="FOT219" s="28"/>
      <c r="FOU219" s="28"/>
      <c r="FOV219" s="28"/>
      <c r="FOW219" s="28"/>
      <c r="FOX219" s="28"/>
      <c r="FOY219" s="28"/>
      <c r="FOZ219" s="28"/>
      <c r="FPA219" s="28"/>
      <c r="FPB219" s="28"/>
      <c r="FPC219" s="28"/>
      <c r="FPD219" s="28"/>
      <c r="FPE219" s="28"/>
      <c r="FPF219" s="28"/>
      <c r="FPG219" s="28"/>
      <c r="FPH219" s="28"/>
      <c r="FPI219" s="28"/>
      <c r="FPJ219" s="28"/>
      <c r="FPK219" s="28"/>
      <c r="FPL219" s="28"/>
      <c r="FPM219" s="28"/>
      <c r="FPN219" s="28"/>
      <c r="FPO219" s="28"/>
      <c r="FPP219" s="28"/>
      <c r="FPQ219" s="28"/>
      <c r="FPR219" s="28"/>
      <c r="FPS219" s="28"/>
      <c r="FPT219" s="28"/>
      <c r="FPU219" s="28"/>
      <c r="FPV219" s="28"/>
      <c r="FPW219" s="28"/>
      <c r="FPX219" s="28"/>
      <c r="FPY219" s="28"/>
      <c r="FPZ219" s="28"/>
      <c r="FQA219" s="28"/>
      <c r="FQB219" s="28"/>
      <c r="FQC219" s="28"/>
      <c r="FQD219" s="28"/>
      <c r="FQE219" s="28"/>
      <c r="FQF219" s="28"/>
      <c r="FQG219" s="28"/>
      <c r="FQH219" s="28"/>
      <c r="FQI219" s="28"/>
      <c r="FQJ219" s="28"/>
      <c r="FQK219" s="28"/>
      <c r="FQL219" s="28"/>
      <c r="FQM219" s="28"/>
      <c r="FQN219" s="28"/>
      <c r="FQO219" s="28"/>
      <c r="FQP219" s="28"/>
      <c r="FQQ219" s="28"/>
      <c r="FQR219" s="28"/>
      <c r="FQS219" s="28"/>
      <c r="FQT219" s="28"/>
      <c r="FQU219" s="28"/>
      <c r="FQV219" s="28"/>
      <c r="FQW219" s="28"/>
      <c r="FQX219" s="28"/>
      <c r="FQY219" s="28"/>
      <c r="FQZ219" s="28"/>
      <c r="FRA219" s="28"/>
      <c r="FRB219" s="28"/>
      <c r="FRC219" s="28"/>
      <c r="FRD219" s="28"/>
      <c r="FRE219" s="28"/>
      <c r="FRF219" s="28"/>
      <c r="FRG219" s="28"/>
      <c r="FRH219" s="28"/>
      <c r="FRI219" s="28"/>
      <c r="FRJ219" s="28"/>
      <c r="FRK219" s="28"/>
      <c r="FRL219" s="28"/>
      <c r="FRM219" s="28"/>
      <c r="FRN219" s="28"/>
      <c r="FRO219" s="28"/>
      <c r="FRP219" s="28"/>
      <c r="FRQ219" s="28"/>
      <c r="FRR219" s="28"/>
      <c r="FRS219" s="28"/>
      <c r="FRT219" s="28"/>
      <c r="FRU219" s="28"/>
      <c r="FRV219" s="28"/>
      <c r="FRW219" s="28"/>
      <c r="FRX219" s="28"/>
      <c r="FRY219" s="28"/>
      <c r="FRZ219" s="28"/>
      <c r="FSA219" s="28"/>
      <c r="FSB219" s="28"/>
      <c r="FSC219" s="28"/>
      <c r="FSD219" s="28"/>
      <c r="FSE219" s="28"/>
      <c r="FSF219" s="28"/>
      <c r="FSG219" s="28"/>
      <c r="FSH219" s="28"/>
      <c r="FSI219" s="28"/>
      <c r="FSJ219" s="28"/>
      <c r="FSK219" s="28"/>
      <c r="FSL219" s="28"/>
      <c r="FSM219" s="28"/>
      <c r="FSN219" s="28"/>
      <c r="FSO219" s="28"/>
      <c r="FSP219" s="28"/>
      <c r="FSQ219" s="28"/>
      <c r="FSR219" s="28"/>
      <c r="FSS219" s="28"/>
      <c r="FST219" s="28"/>
      <c r="FSU219" s="28"/>
      <c r="FSV219" s="28"/>
      <c r="FSW219" s="28"/>
      <c r="FSX219" s="28"/>
      <c r="FSY219" s="28"/>
      <c r="FSZ219" s="28"/>
      <c r="FTA219" s="28"/>
      <c r="FTB219" s="28"/>
      <c r="FTC219" s="28"/>
      <c r="FTD219" s="28"/>
      <c r="FTE219" s="28"/>
      <c r="FTF219" s="28"/>
      <c r="FTG219" s="28"/>
      <c r="FTH219" s="28"/>
      <c r="FTI219" s="28"/>
      <c r="FTJ219" s="28"/>
      <c r="FTK219" s="28"/>
      <c r="FTL219" s="28"/>
      <c r="FTM219" s="28"/>
      <c r="FTN219" s="28"/>
      <c r="FTO219" s="28"/>
      <c r="FTP219" s="28"/>
      <c r="FTQ219" s="28"/>
      <c r="FTR219" s="28"/>
      <c r="FTS219" s="28"/>
      <c r="FTT219" s="28"/>
      <c r="FTU219" s="28"/>
      <c r="FTV219" s="28"/>
      <c r="FTW219" s="28"/>
      <c r="FTX219" s="28"/>
      <c r="FTY219" s="28"/>
      <c r="FTZ219" s="28"/>
      <c r="FUA219" s="28"/>
      <c r="FUB219" s="28"/>
      <c r="FUC219" s="28"/>
      <c r="FUD219" s="28"/>
      <c r="FUE219" s="28"/>
      <c r="FUF219" s="28"/>
      <c r="FUG219" s="28"/>
      <c r="FUH219" s="28"/>
      <c r="FUI219" s="28"/>
      <c r="FUJ219" s="28"/>
      <c r="FUK219" s="28"/>
      <c r="FUL219" s="28"/>
      <c r="FUM219" s="28"/>
      <c r="FUN219" s="28"/>
      <c r="FUO219" s="28"/>
      <c r="FUP219" s="28"/>
      <c r="FUQ219" s="28"/>
      <c r="FUR219" s="28"/>
      <c r="FUS219" s="28"/>
      <c r="FUT219" s="28"/>
      <c r="FUU219" s="28"/>
      <c r="FUV219" s="28"/>
      <c r="FUW219" s="28"/>
      <c r="FUX219" s="28"/>
      <c r="FUY219" s="28"/>
      <c r="FUZ219" s="28"/>
      <c r="FVA219" s="28"/>
      <c r="FVB219" s="28"/>
      <c r="FVC219" s="28"/>
      <c r="FVD219" s="28"/>
      <c r="FVE219" s="28"/>
      <c r="FVF219" s="28"/>
      <c r="FVG219" s="28"/>
      <c r="FVH219" s="28"/>
      <c r="FVI219" s="28"/>
      <c r="FVJ219" s="28"/>
      <c r="FVK219" s="28"/>
      <c r="FVL219" s="28"/>
      <c r="FVM219" s="28"/>
      <c r="FVN219" s="28"/>
      <c r="FVO219" s="28"/>
      <c r="FVP219" s="28"/>
      <c r="FVQ219" s="28"/>
      <c r="FVR219" s="28"/>
      <c r="FVS219" s="28"/>
      <c r="FVT219" s="28"/>
      <c r="FVU219" s="28"/>
      <c r="FVV219" s="28"/>
      <c r="FVW219" s="28"/>
      <c r="FVX219" s="28"/>
      <c r="FVY219" s="28"/>
      <c r="FVZ219" s="28"/>
      <c r="FWA219" s="28"/>
      <c r="FWB219" s="28"/>
      <c r="FWC219" s="28"/>
      <c r="FWD219" s="28"/>
      <c r="FWE219" s="28"/>
      <c r="FWF219" s="28"/>
      <c r="FWG219" s="28"/>
      <c r="FWH219" s="28"/>
      <c r="FWI219" s="28"/>
      <c r="FWJ219" s="28"/>
      <c r="FWK219" s="28"/>
      <c r="FWL219" s="28"/>
      <c r="FWM219" s="28"/>
      <c r="FWN219" s="28"/>
      <c r="FWO219" s="28"/>
      <c r="FWP219" s="28"/>
      <c r="FWQ219" s="28"/>
      <c r="FWR219" s="28"/>
      <c r="FWS219" s="28"/>
      <c r="FWT219" s="28"/>
      <c r="FWU219" s="28"/>
      <c r="FWV219" s="28"/>
      <c r="FWW219" s="28"/>
      <c r="FWX219" s="28"/>
      <c r="FWY219" s="28"/>
      <c r="FWZ219" s="28"/>
      <c r="FXA219" s="28"/>
      <c r="FXB219" s="28"/>
      <c r="FXC219" s="28"/>
      <c r="FXD219" s="28"/>
      <c r="FXE219" s="28"/>
      <c r="FXF219" s="28"/>
      <c r="FXG219" s="28"/>
      <c r="FXH219" s="28"/>
      <c r="FXI219" s="28"/>
      <c r="FXJ219" s="28"/>
      <c r="FXK219" s="28"/>
      <c r="FXL219" s="28"/>
      <c r="FXM219" s="28"/>
      <c r="FXN219" s="28"/>
      <c r="FXO219" s="28"/>
      <c r="FXP219" s="28"/>
      <c r="FXQ219" s="28"/>
      <c r="FXR219" s="28"/>
      <c r="FXS219" s="28"/>
      <c r="FXT219" s="28"/>
      <c r="FXU219" s="28"/>
      <c r="FXV219" s="28"/>
      <c r="FXW219" s="28"/>
      <c r="FXX219" s="28"/>
      <c r="FXY219" s="28"/>
      <c r="FXZ219" s="28"/>
      <c r="FYA219" s="28"/>
      <c r="FYB219" s="28"/>
      <c r="FYC219" s="28"/>
      <c r="FYD219" s="28"/>
      <c r="FYE219" s="28"/>
      <c r="FYF219" s="28"/>
      <c r="FYG219" s="28"/>
      <c r="FYH219" s="28"/>
      <c r="FYI219" s="28"/>
      <c r="FYJ219" s="28"/>
      <c r="FYK219" s="28"/>
      <c r="FYL219" s="28"/>
      <c r="FYM219" s="28"/>
      <c r="FYN219" s="28"/>
      <c r="FYO219" s="28"/>
      <c r="FYP219" s="28"/>
      <c r="FYQ219" s="28"/>
      <c r="FYR219" s="28"/>
      <c r="FYS219" s="28"/>
      <c r="FYT219" s="28"/>
      <c r="FYU219" s="28"/>
      <c r="FYV219" s="28"/>
      <c r="FYW219" s="28"/>
      <c r="FYX219" s="28"/>
      <c r="FYY219" s="28"/>
      <c r="FYZ219" s="28"/>
      <c r="FZA219" s="28"/>
      <c r="FZB219" s="28"/>
      <c r="FZC219" s="28"/>
      <c r="FZD219" s="28"/>
      <c r="FZE219" s="28"/>
      <c r="FZF219" s="28"/>
      <c r="FZG219" s="28"/>
      <c r="FZH219" s="28"/>
      <c r="FZI219" s="28"/>
      <c r="FZJ219" s="28"/>
      <c r="FZK219" s="28"/>
      <c r="FZL219" s="28"/>
      <c r="FZM219" s="28"/>
      <c r="FZN219" s="28"/>
      <c r="FZO219" s="28"/>
      <c r="FZP219" s="28"/>
      <c r="FZQ219" s="28"/>
      <c r="FZR219" s="28"/>
      <c r="FZS219" s="28"/>
      <c r="FZT219" s="28"/>
      <c r="FZU219" s="28"/>
      <c r="FZV219" s="28"/>
      <c r="FZW219" s="28"/>
      <c r="FZX219" s="28"/>
      <c r="FZY219" s="28"/>
      <c r="FZZ219" s="28"/>
      <c r="GAA219" s="28"/>
      <c r="GAB219" s="28"/>
      <c r="GAC219" s="28"/>
      <c r="GAD219" s="28"/>
      <c r="GAE219" s="28"/>
      <c r="GAF219" s="28"/>
      <c r="GAG219" s="28"/>
      <c r="GAH219" s="28"/>
      <c r="GAI219" s="28"/>
      <c r="GAJ219" s="28"/>
      <c r="GAK219" s="28"/>
      <c r="GAL219" s="28"/>
      <c r="GAM219" s="28"/>
      <c r="GAN219" s="28"/>
      <c r="GAO219" s="28"/>
      <c r="GAP219" s="28"/>
      <c r="GAQ219" s="28"/>
      <c r="GAR219" s="28"/>
      <c r="GAS219" s="28"/>
      <c r="GAT219" s="28"/>
      <c r="GAU219" s="28"/>
      <c r="GAV219" s="28"/>
      <c r="GAW219" s="28"/>
      <c r="GAX219" s="28"/>
      <c r="GAY219" s="28"/>
      <c r="GAZ219" s="28"/>
      <c r="GBA219" s="28"/>
      <c r="GBB219" s="28"/>
      <c r="GBC219" s="28"/>
      <c r="GBD219" s="28"/>
      <c r="GBE219" s="28"/>
      <c r="GBF219" s="28"/>
      <c r="GBG219" s="28"/>
      <c r="GBH219" s="28"/>
      <c r="GBI219" s="28"/>
      <c r="GBJ219" s="28"/>
      <c r="GBK219" s="28"/>
      <c r="GBL219" s="28"/>
      <c r="GBM219" s="28"/>
      <c r="GBN219" s="28"/>
      <c r="GBO219" s="28"/>
      <c r="GBP219" s="28"/>
      <c r="GBQ219" s="28"/>
      <c r="GBR219" s="28"/>
      <c r="GBS219" s="28"/>
      <c r="GBT219" s="28"/>
      <c r="GBU219" s="28"/>
      <c r="GBV219" s="28"/>
      <c r="GBW219" s="28"/>
      <c r="GBX219" s="28"/>
      <c r="GBY219" s="28"/>
      <c r="GBZ219" s="28"/>
      <c r="GCA219" s="28"/>
      <c r="GCB219" s="28"/>
      <c r="GCC219" s="28"/>
      <c r="GCD219" s="28"/>
      <c r="GCE219" s="28"/>
      <c r="GCF219" s="28"/>
      <c r="GCG219" s="28"/>
      <c r="GCH219" s="28"/>
      <c r="GCI219" s="28"/>
      <c r="GCJ219" s="28"/>
      <c r="GCK219" s="28"/>
      <c r="GCL219" s="28"/>
      <c r="GCM219" s="28"/>
      <c r="GCN219" s="28"/>
      <c r="GCO219" s="28"/>
      <c r="GCP219" s="28"/>
      <c r="GCQ219" s="28"/>
      <c r="GCR219" s="28"/>
      <c r="GCS219" s="28"/>
      <c r="GCT219" s="28"/>
      <c r="GCU219" s="28"/>
      <c r="GCV219" s="28"/>
      <c r="GCW219" s="28"/>
      <c r="GCX219" s="28"/>
      <c r="GCY219" s="28"/>
      <c r="GCZ219" s="28"/>
      <c r="GDA219" s="28"/>
      <c r="GDB219" s="28"/>
      <c r="GDC219" s="28"/>
      <c r="GDD219" s="28"/>
      <c r="GDE219" s="28"/>
      <c r="GDF219" s="28"/>
      <c r="GDG219" s="28"/>
      <c r="GDH219" s="28"/>
      <c r="GDI219" s="28"/>
      <c r="GDJ219" s="28"/>
      <c r="GDK219" s="28"/>
      <c r="GDL219" s="28"/>
      <c r="GDM219" s="28"/>
      <c r="GDN219" s="28"/>
      <c r="GDO219" s="28"/>
      <c r="GDP219" s="28"/>
      <c r="GDQ219" s="28"/>
      <c r="GDR219" s="28"/>
      <c r="GDS219" s="28"/>
      <c r="GDT219" s="28"/>
      <c r="GDU219" s="28"/>
      <c r="GDV219" s="28"/>
      <c r="GDW219" s="28"/>
      <c r="GDX219" s="28"/>
      <c r="GDY219" s="28"/>
      <c r="GDZ219" s="28"/>
      <c r="GEA219" s="28"/>
      <c r="GEB219" s="28"/>
      <c r="GEC219" s="28"/>
      <c r="GED219" s="28"/>
      <c r="GEE219" s="28"/>
      <c r="GEF219" s="28"/>
      <c r="GEG219" s="28"/>
      <c r="GEH219" s="28"/>
      <c r="GEI219" s="28"/>
      <c r="GEJ219" s="28"/>
      <c r="GEK219" s="28"/>
      <c r="GEL219" s="28"/>
      <c r="GEM219" s="28"/>
      <c r="GEN219" s="28"/>
      <c r="GEO219" s="28"/>
      <c r="GEP219" s="28"/>
      <c r="GEQ219" s="28"/>
      <c r="GER219" s="28"/>
      <c r="GES219" s="28"/>
      <c r="GET219" s="28"/>
      <c r="GEU219" s="28"/>
      <c r="GEV219" s="28"/>
      <c r="GEW219" s="28"/>
      <c r="GEX219" s="28"/>
      <c r="GEY219" s="28"/>
      <c r="GEZ219" s="28"/>
      <c r="GFA219" s="28"/>
      <c r="GFB219" s="28"/>
      <c r="GFC219" s="28"/>
      <c r="GFD219" s="28"/>
      <c r="GFE219" s="28"/>
      <c r="GFF219" s="28"/>
      <c r="GFG219" s="28"/>
      <c r="GFH219" s="28"/>
      <c r="GFI219" s="28"/>
      <c r="GFJ219" s="28"/>
      <c r="GFK219" s="28"/>
      <c r="GFL219" s="28"/>
      <c r="GFM219" s="28"/>
      <c r="GFN219" s="28"/>
      <c r="GFO219" s="28"/>
      <c r="GFP219" s="28"/>
      <c r="GFQ219" s="28"/>
      <c r="GFR219" s="28"/>
      <c r="GFS219" s="28"/>
      <c r="GFT219" s="28"/>
      <c r="GFU219" s="28"/>
      <c r="GFV219" s="28"/>
      <c r="GFW219" s="28"/>
      <c r="GFX219" s="28"/>
      <c r="GFY219" s="28"/>
      <c r="GFZ219" s="28"/>
      <c r="GGA219" s="28"/>
      <c r="GGB219" s="28"/>
      <c r="GGC219" s="28"/>
      <c r="GGD219" s="28"/>
      <c r="GGE219" s="28"/>
      <c r="GGF219" s="28"/>
      <c r="GGG219" s="28"/>
      <c r="GGH219" s="28"/>
      <c r="GGI219" s="28"/>
      <c r="GGJ219" s="28"/>
      <c r="GGK219" s="28"/>
      <c r="GGL219" s="28"/>
      <c r="GGM219" s="28"/>
      <c r="GGN219" s="28"/>
      <c r="GGO219" s="28"/>
      <c r="GGP219" s="28"/>
      <c r="GGQ219" s="28"/>
      <c r="GGR219" s="28"/>
      <c r="GGS219" s="28"/>
      <c r="GGT219" s="28"/>
      <c r="GGU219" s="28"/>
      <c r="GGV219" s="28"/>
      <c r="GGW219" s="28"/>
      <c r="GGX219" s="28"/>
      <c r="GGY219" s="28"/>
      <c r="GGZ219" s="28"/>
      <c r="GHA219" s="28"/>
      <c r="GHB219" s="28"/>
      <c r="GHC219" s="28"/>
      <c r="GHD219" s="28"/>
      <c r="GHE219" s="28"/>
      <c r="GHF219" s="28"/>
      <c r="GHG219" s="28"/>
      <c r="GHH219" s="28"/>
      <c r="GHI219" s="28"/>
      <c r="GHJ219" s="28"/>
      <c r="GHK219" s="28"/>
      <c r="GHL219" s="28"/>
      <c r="GHM219" s="28"/>
      <c r="GHN219" s="28"/>
      <c r="GHO219" s="28"/>
      <c r="GHP219" s="28"/>
      <c r="GHQ219" s="28"/>
      <c r="GHR219" s="28"/>
      <c r="GHS219" s="28"/>
      <c r="GHT219" s="28"/>
      <c r="GHU219" s="28"/>
      <c r="GHV219" s="28"/>
      <c r="GHW219" s="28"/>
      <c r="GHX219" s="28"/>
      <c r="GHY219" s="28"/>
      <c r="GHZ219" s="28"/>
      <c r="GIA219" s="28"/>
      <c r="GIB219" s="28"/>
      <c r="GIC219" s="28"/>
      <c r="GID219" s="28"/>
      <c r="GIE219" s="28"/>
      <c r="GIF219" s="28"/>
      <c r="GIG219" s="28"/>
      <c r="GIH219" s="28"/>
      <c r="GII219" s="28"/>
      <c r="GIJ219" s="28"/>
      <c r="GIK219" s="28"/>
      <c r="GIL219" s="28"/>
      <c r="GIM219" s="28"/>
      <c r="GIN219" s="28"/>
      <c r="GIO219" s="28"/>
      <c r="GIP219" s="28"/>
      <c r="GIQ219" s="28"/>
      <c r="GIR219" s="28"/>
      <c r="GIS219" s="28"/>
      <c r="GIT219" s="28"/>
      <c r="GIU219" s="28"/>
      <c r="GIV219" s="28"/>
      <c r="GIW219" s="28"/>
      <c r="GIX219" s="28"/>
      <c r="GIY219" s="28"/>
      <c r="GIZ219" s="28"/>
      <c r="GJA219" s="28"/>
      <c r="GJB219" s="28"/>
      <c r="GJC219" s="28"/>
      <c r="GJD219" s="28"/>
      <c r="GJE219" s="28"/>
      <c r="GJF219" s="28"/>
      <c r="GJG219" s="28"/>
      <c r="GJH219" s="28"/>
      <c r="GJI219" s="28"/>
      <c r="GJJ219" s="28"/>
      <c r="GJK219" s="28"/>
      <c r="GJL219" s="28"/>
      <c r="GJM219" s="28"/>
      <c r="GJN219" s="28"/>
      <c r="GJO219" s="28"/>
      <c r="GJP219" s="28"/>
      <c r="GJQ219" s="28"/>
      <c r="GJR219" s="28"/>
      <c r="GJS219" s="28"/>
      <c r="GJT219" s="28"/>
      <c r="GJU219" s="28"/>
      <c r="GJV219" s="28"/>
      <c r="GJW219" s="28"/>
      <c r="GJX219" s="28"/>
      <c r="GJY219" s="28"/>
      <c r="GJZ219" s="28"/>
      <c r="GKA219" s="28"/>
      <c r="GKB219" s="28"/>
      <c r="GKC219" s="28"/>
      <c r="GKD219" s="28"/>
      <c r="GKE219" s="28"/>
      <c r="GKF219" s="28"/>
      <c r="GKG219" s="28"/>
      <c r="GKH219" s="28"/>
      <c r="GKI219" s="28"/>
      <c r="GKJ219" s="28"/>
      <c r="GKK219" s="28"/>
      <c r="GKL219" s="28"/>
      <c r="GKM219" s="28"/>
      <c r="GKN219" s="28"/>
      <c r="GKO219" s="28"/>
      <c r="GKP219" s="28"/>
      <c r="GKQ219" s="28"/>
      <c r="GKR219" s="28"/>
      <c r="GKS219" s="28"/>
      <c r="GKT219" s="28"/>
      <c r="GKU219" s="28"/>
      <c r="GKV219" s="28"/>
      <c r="GKW219" s="28"/>
      <c r="GKX219" s="28"/>
      <c r="GKY219" s="28"/>
      <c r="GKZ219" s="28"/>
      <c r="GLA219" s="28"/>
      <c r="GLB219" s="28"/>
      <c r="GLC219" s="28"/>
      <c r="GLD219" s="28"/>
      <c r="GLE219" s="28"/>
      <c r="GLF219" s="28"/>
      <c r="GLG219" s="28"/>
      <c r="GLH219" s="28"/>
      <c r="GLI219" s="28"/>
      <c r="GLJ219" s="28"/>
      <c r="GLK219" s="28"/>
    </row>
    <row r="220" spans="1:5055" s="28" customFormat="1">
      <c r="A220" s="78">
        <v>217</v>
      </c>
      <c r="B220" s="77" t="s">
        <v>174</v>
      </c>
      <c r="C220" s="33" t="s">
        <v>284</v>
      </c>
      <c r="D220" s="31" t="s">
        <v>178</v>
      </c>
      <c r="E220" s="7">
        <v>46211</v>
      </c>
      <c r="F220" s="11" t="s">
        <v>368</v>
      </c>
      <c r="G220" s="11" t="s">
        <v>367</v>
      </c>
      <c r="H220" s="4" t="s">
        <v>0</v>
      </c>
      <c r="I220" s="5">
        <v>4758</v>
      </c>
      <c r="J220" s="6" t="s">
        <v>142</v>
      </c>
      <c r="K220" s="2">
        <v>8000</v>
      </c>
      <c r="L220" s="2">
        <f t="shared" ref="L220:L229" si="356">+K220*0.975</f>
        <v>7800</v>
      </c>
      <c r="M220" s="12">
        <f t="shared" ref="M220:M229" si="357">+L220-K220</f>
        <v>-200</v>
      </c>
      <c r="N220" s="21">
        <f t="shared" ref="N220:N234" si="358">+L220/K220</f>
        <v>0.97499999999999998</v>
      </c>
      <c r="O220" s="56">
        <f t="shared" ref="O220:O225" si="359">E220+P220+1+3</f>
        <v>46235.830729492147</v>
      </c>
      <c r="P220" s="25">
        <f t="shared" ref="P220:P229" si="360">+L220/Q220</f>
        <v>20.830729492146816</v>
      </c>
      <c r="Q220" s="51">
        <f t="shared" ref="Q220:Q229" si="361">630*40/60*0.975*0.9144</f>
        <v>374.4468</v>
      </c>
    </row>
    <row r="221" spans="1:5055" s="28" customFormat="1">
      <c r="A221" s="78">
        <v>218</v>
      </c>
      <c r="B221" s="77" t="s">
        <v>174</v>
      </c>
      <c r="C221" s="33" t="s">
        <v>284</v>
      </c>
      <c r="D221" s="31" t="s">
        <v>178</v>
      </c>
      <c r="E221" s="7">
        <v>46211</v>
      </c>
      <c r="F221" s="11" t="s">
        <v>368</v>
      </c>
      <c r="G221" s="11" t="s">
        <v>367</v>
      </c>
      <c r="H221" s="4" t="s">
        <v>0</v>
      </c>
      <c r="I221" s="5">
        <v>4758</v>
      </c>
      <c r="J221" s="6" t="s">
        <v>53</v>
      </c>
      <c r="K221" s="2">
        <v>8000</v>
      </c>
      <c r="L221" s="2">
        <f t="shared" si="356"/>
        <v>7800</v>
      </c>
      <c r="M221" s="12">
        <f t="shared" si="357"/>
        <v>-200</v>
      </c>
      <c r="N221" s="21">
        <f t="shared" si="358"/>
        <v>0.97499999999999998</v>
      </c>
      <c r="O221" s="56">
        <f t="shared" si="359"/>
        <v>46235.830729492147</v>
      </c>
      <c r="P221" s="25">
        <f t="shared" si="360"/>
        <v>20.830729492146816</v>
      </c>
      <c r="Q221" s="51">
        <f t="shared" si="361"/>
        <v>374.4468</v>
      </c>
    </row>
    <row r="222" spans="1:5055" s="28" customFormat="1">
      <c r="A222" s="78">
        <v>219</v>
      </c>
      <c r="B222" s="77" t="s">
        <v>174</v>
      </c>
      <c r="C222" s="33" t="s">
        <v>284</v>
      </c>
      <c r="D222" s="31" t="s">
        <v>178</v>
      </c>
      <c r="E222" s="7">
        <v>46211</v>
      </c>
      <c r="F222" s="11" t="s">
        <v>368</v>
      </c>
      <c r="G222" s="11" t="s">
        <v>367</v>
      </c>
      <c r="H222" s="4" t="s">
        <v>0</v>
      </c>
      <c r="I222" s="5">
        <v>4758</v>
      </c>
      <c r="J222" s="6" t="s">
        <v>132</v>
      </c>
      <c r="K222" s="2">
        <v>8000</v>
      </c>
      <c r="L222" s="2">
        <f t="shared" si="356"/>
        <v>7800</v>
      </c>
      <c r="M222" s="12">
        <f t="shared" si="357"/>
        <v>-200</v>
      </c>
      <c r="N222" s="21">
        <f t="shared" si="358"/>
        <v>0.97499999999999998</v>
      </c>
      <c r="O222" s="56">
        <f t="shared" si="359"/>
        <v>46235.830729492147</v>
      </c>
      <c r="P222" s="25">
        <f t="shared" si="360"/>
        <v>20.830729492146816</v>
      </c>
      <c r="Q222" s="51">
        <f t="shared" si="361"/>
        <v>374.4468</v>
      </c>
    </row>
    <row r="223" spans="1:5055" s="28" customFormat="1">
      <c r="A223" s="78">
        <v>220</v>
      </c>
      <c r="B223" s="77" t="s">
        <v>174</v>
      </c>
      <c r="C223" s="33" t="s">
        <v>284</v>
      </c>
      <c r="D223" s="31" t="s">
        <v>178</v>
      </c>
      <c r="E223" s="7">
        <v>46211</v>
      </c>
      <c r="F223" s="11" t="s">
        <v>368</v>
      </c>
      <c r="G223" s="11" t="s">
        <v>367</v>
      </c>
      <c r="H223" s="4" t="s">
        <v>0</v>
      </c>
      <c r="I223" s="5">
        <v>4758</v>
      </c>
      <c r="J223" s="6" t="s">
        <v>123</v>
      </c>
      <c r="K223" s="2">
        <v>8000</v>
      </c>
      <c r="L223" s="2">
        <f t="shared" si="356"/>
        <v>7800</v>
      </c>
      <c r="M223" s="12">
        <f t="shared" si="357"/>
        <v>-200</v>
      </c>
      <c r="N223" s="21">
        <f t="shared" si="358"/>
        <v>0.97499999999999998</v>
      </c>
      <c r="O223" s="56">
        <f t="shared" si="359"/>
        <v>46235.830729492147</v>
      </c>
      <c r="P223" s="25">
        <f t="shared" si="360"/>
        <v>20.830729492146816</v>
      </c>
      <c r="Q223" s="51">
        <f t="shared" si="361"/>
        <v>374.4468</v>
      </c>
    </row>
    <row r="224" spans="1:5055" s="28" customFormat="1">
      <c r="A224" s="78">
        <v>221</v>
      </c>
      <c r="B224" s="77" t="s">
        <v>174</v>
      </c>
      <c r="C224" s="33" t="s">
        <v>284</v>
      </c>
      <c r="D224" s="31" t="s">
        <v>178</v>
      </c>
      <c r="E224" s="7">
        <v>46211</v>
      </c>
      <c r="F224" s="11" t="s">
        <v>368</v>
      </c>
      <c r="G224" s="11" t="s">
        <v>367</v>
      </c>
      <c r="H224" s="4" t="s">
        <v>0</v>
      </c>
      <c r="I224" s="5">
        <v>4758</v>
      </c>
      <c r="J224" s="6" t="s">
        <v>258</v>
      </c>
      <c r="K224" s="2">
        <v>8000</v>
      </c>
      <c r="L224" s="2">
        <f t="shared" si="356"/>
        <v>7800</v>
      </c>
      <c r="M224" s="12">
        <f t="shared" si="357"/>
        <v>-200</v>
      </c>
      <c r="N224" s="21">
        <f t="shared" si="358"/>
        <v>0.97499999999999998</v>
      </c>
      <c r="O224" s="56">
        <f t="shared" si="359"/>
        <v>46235.830729492147</v>
      </c>
      <c r="P224" s="25">
        <f t="shared" si="360"/>
        <v>20.830729492146816</v>
      </c>
      <c r="Q224" s="51">
        <f t="shared" si="361"/>
        <v>374.4468</v>
      </c>
    </row>
    <row r="225" spans="1:18" s="28" customFormat="1">
      <c r="A225" s="78">
        <v>222</v>
      </c>
      <c r="B225" s="77" t="s">
        <v>174</v>
      </c>
      <c r="C225" s="33" t="s">
        <v>284</v>
      </c>
      <c r="D225" s="31" t="s">
        <v>178</v>
      </c>
      <c r="E225" s="7">
        <v>46211</v>
      </c>
      <c r="F225" s="11" t="s">
        <v>368</v>
      </c>
      <c r="G225" s="11" t="s">
        <v>367</v>
      </c>
      <c r="H225" s="4" t="s">
        <v>0</v>
      </c>
      <c r="I225" s="5">
        <v>4758</v>
      </c>
      <c r="J225" s="6" t="s">
        <v>154</v>
      </c>
      <c r="K225" s="2">
        <v>8000</v>
      </c>
      <c r="L225" s="2">
        <f t="shared" si="356"/>
        <v>7800</v>
      </c>
      <c r="M225" s="12">
        <f t="shared" si="357"/>
        <v>-200</v>
      </c>
      <c r="N225" s="21">
        <f t="shared" si="358"/>
        <v>0.97499999999999998</v>
      </c>
      <c r="O225" s="56">
        <f t="shared" si="359"/>
        <v>46235.830729492147</v>
      </c>
      <c r="P225" s="25">
        <f t="shared" si="360"/>
        <v>20.830729492146816</v>
      </c>
      <c r="Q225" s="51">
        <f t="shared" si="361"/>
        <v>374.4468</v>
      </c>
    </row>
    <row r="226" spans="1:18" s="28" customFormat="1">
      <c r="A226" s="78">
        <v>223</v>
      </c>
      <c r="B226" s="77" t="s">
        <v>174</v>
      </c>
      <c r="C226" s="33" t="s">
        <v>284</v>
      </c>
      <c r="D226" s="31" t="s">
        <v>178</v>
      </c>
      <c r="E226" s="7">
        <v>46212</v>
      </c>
      <c r="F226" s="11" t="s">
        <v>368</v>
      </c>
      <c r="G226" s="11" t="s">
        <v>367</v>
      </c>
      <c r="H226" s="4" t="s">
        <v>0</v>
      </c>
      <c r="I226" s="5">
        <v>4758</v>
      </c>
      <c r="J226" s="6" t="s">
        <v>83</v>
      </c>
      <c r="K226" s="2">
        <v>8000</v>
      </c>
      <c r="L226" s="2">
        <f t="shared" si="356"/>
        <v>7800</v>
      </c>
      <c r="M226" s="12">
        <f t="shared" si="357"/>
        <v>-200</v>
      </c>
      <c r="N226" s="21">
        <f t="shared" si="358"/>
        <v>0.97499999999999998</v>
      </c>
      <c r="O226" s="8">
        <f t="shared" ref="O226:O227" si="362">+E226+P226+1+4</f>
        <v>46237.830729492147</v>
      </c>
      <c r="P226" s="25">
        <f t="shared" si="360"/>
        <v>20.830729492146816</v>
      </c>
      <c r="Q226" s="51">
        <f t="shared" si="361"/>
        <v>374.4468</v>
      </c>
    </row>
    <row r="227" spans="1:18" s="28" customFormat="1">
      <c r="A227" s="78">
        <v>224</v>
      </c>
      <c r="B227" s="77" t="s">
        <v>174</v>
      </c>
      <c r="C227" s="33" t="s">
        <v>284</v>
      </c>
      <c r="D227" s="31" t="s">
        <v>178</v>
      </c>
      <c r="E227" s="7">
        <v>46212</v>
      </c>
      <c r="F227" s="11" t="s">
        <v>368</v>
      </c>
      <c r="G227" s="11" t="s">
        <v>367</v>
      </c>
      <c r="H227" s="4" t="s">
        <v>0</v>
      </c>
      <c r="I227" s="5">
        <v>4758</v>
      </c>
      <c r="J227" s="6" t="s">
        <v>129</v>
      </c>
      <c r="K227" s="2">
        <v>8000</v>
      </c>
      <c r="L227" s="2">
        <f t="shared" si="356"/>
        <v>7800</v>
      </c>
      <c r="M227" s="12">
        <f t="shared" si="357"/>
        <v>-200</v>
      </c>
      <c r="N227" s="21">
        <f t="shared" si="358"/>
        <v>0.97499999999999998</v>
      </c>
      <c r="O227" s="8">
        <f t="shared" si="362"/>
        <v>46237.830729492147</v>
      </c>
      <c r="P227" s="25">
        <f t="shared" si="360"/>
        <v>20.830729492146816</v>
      </c>
      <c r="Q227" s="51">
        <f t="shared" si="361"/>
        <v>374.4468</v>
      </c>
    </row>
    <row r="228" spans="1:18" s="28" customFormat="1">
      <c r="A228" s="78">
        <v>225</v>
      </c>
      <c r="B228" s="77" t="s">
        <v>174</v>
      </c>
      <c r="C228" s="33" t="s">
        <v>284</v>
      </c>
      <c r="D228" s="31" t="s">
        <v>178</v>
      </c>
      <c r="E228" s="7">
        <v>46213</v>
      </c>
      <c r="F228" s="11" t="s">
        <v>368</v>
      </c>
      <c r="G228" s="11" t="s">
        <v>367</v>
      </c>
      <c r="H228" s="4" t="s">
        <v>0</v>
      </c>
      <c r="I228" s="5">
        <v>4758</v>
      </c>
      <c r="J228" s="6" t="s">
        <v>170</v>
      </c>
      <c r="K228" s="2">
        <v>8000</v>
      </c>
      <c r="L228" s="2">
        <f t="shared" si="356"/>
        <v>7800</v>
      </c>
      <c r="M228" s="12">
        <f t="shared" si="357"/>
        <v>-200</v>
      </c>
      <c r="N228" s="21">
        <f t="shared" si="358"/>
        <v>0.97499999999999998</v>
      </c>
      <c r="O228" s="8">
        <f>+E228+P228+1+4</f>
        <v>46238.830729492147</v>
      </c>
      <c r="P228" s="25">
        <f t="shared" si="360"/>
        <v>20.830729492146816</v>
      </c>
      <c r="Q228" s="51">
        <f t="shared" si="361"/>
        <v>374.4468</v>
      </c>
    </row>
    <row r="229" spans="1:18" s="28" customFormat="1">
      <c r="A229" s="78">
        <v>226</v>
      </c>
      <c r="B229" s="77" t="s">
        <v>174</v>
      </c>
      <c r="C229" s="33" t="s">
        <v>284</v>
      </c>
      <c r="D229" s="31" t="s">
        <v>178</v>
      </c>
      <c r="E229" s="7">
        <v>46213</v>
      </c>
      <c r="F229" s="11" t="s">
        <v>368</v>
      </c>
      <c r="G229" s="11" t="s">
        <v>367</v>
      </c>
      <c r="H229" s="4" t="s">
        <v>0</v>
      </c>
      <c r="I229" s="5">
        <v>4758</v>
      </c>
      <c r="J229" s="6" t="s">
        <v>332</v>
      </c>
      <c r="K229" s="2">
        <v>8000</v>
      </c>
      <c r="L229" s="2">
        <f t="shared" si="356"/>
        <v>7800</v>
      </c>
      <c r="M229" s="12">
        <f t="shared" si="357"/>
        <v>-200</v>
      </c>
      <c r="N229" s="21">
        <f t="shared" si="358"/>
        <v>0.97499999999999998</v>
      </c>
      <c r="O229" s="8">
        <f>+E229+P229+1+4</f>
        <v>46238.830729492147</v>
      </c>
      <c r="P229" s="25">
        <f t="shared" si="360"/>
        <v>20.830729492146816</v>
      </c>
      <c r="Q229" s="51">
        <f t="shared" si="361"/>
        <v>374.4468</v>
      </c>
    </row>
    <row r="230" spans="1:18" s="28" customFormat="1">
      <c r="A230" s="78">
        <v>227</v>
      </c>
      <c r="B230" s="81" t="s">
        <v>161</v>
      </c>
      <c r="C230" s="66" t="s">
        <v>198</v>
      </c>
      <c r="D230" s="31" t="s">
        <v>178</v>
      </c>
      <c r="E230" s="7">
        <v>46216</v>
      </c>
      <c r="F230" s="4" t="s">
        <v>254</v>
      </c>
      <c r="G230" s="4" t="s">
        <v>255</v>
      </c>
      <c r="H230" s="4" t="s">
        <v>199</v>
      </c>
      <c r="I230" s="5">
        <v>9318</v>
      </c>
      <c r="J230" s="36" t="s">
        <v>237</v>
      </c>
      <c r="K230" s="2">
        <v>5000</v>
      </c>
      <c r="L230" s="25">
        <f t="shared" ref="L230:L234" si="363">+K230*0.95</f>
        <v>4750</v>
      </c>
      <c r="M230" s="2">
        <f t="shared" ref="M230:M234" si="364">L230-K230</f>
        <v>-250</v>
      </c>
      <c r="N230" s="22">
        <f t="shared" si="358"/>
        <v>0.95</v>
      </c>
      <c r="O230" s="56">
        <f>E230+P230+1+2</f>
        <v>46236.332453601179</v>
      </c>
      <c r="P230" s="39">
        <f t="shared" ref="P230:P234" si="365">L230/Q230</f>
        <v>17.332453601177459</v>
      </c>
      <c r="Q230" s="27">
        <f t="shared" ref="Q230:Q234" si="366">640*40/82*0.96*0.9144</f>
        <v>274.0523707317073</v>
      </c>
      <c r="R230" s="28" t="s">
        <v>395</v>
      </c>
    </row>
    <row r="231" spans="1:18" s="28" customFormat="1">
      <c r="A231" s="78">
        <v>228</v>
      </c>
      <c r="B231" s="98" t="s">
        <v>208</v>
      </c>
      <c r="C231" s="33" t="s">
        <v>184</v>
      </c>
      <c r="D231" s="30" t="s">
        <v>178</v>
      </c>
      <c r="E231" s="7">
        <v>46218</v>
      </c>
      <c r="F231" s="86" t="s">
        <v>209</v>
      </c>
      <c r="G231" s="86" t="s">
        <v>210</v>
      </c>
      <c r="H231" s="86" t="s">
        <v>185</v>
      </c>
      <c r="I231" s="5">
        <v>6700</v>
      </c>
      <c r="J231" s="6" t="s">
        <v>116</v>
      </c>
      <c r="K231" s="2">
        <v>5900</v>
      </c>
      <c r="L231" s="25">
        <f t="shared" si="363"/>
        <v>5605</v>
      </c>
      <c r="M231" s="2">
        <f>+L231-K231</f>
        <v>-295</v>
      </c>
      <c r="N231" s="21">
        <f>+L231/K231</f>
        <v>0.95</v>
      </c>
      <c r="O231" s="8">
        <f>+E231+P231+1+3</f>
        <v>46242.345148297907</v>
      </c>
      <c r="P231" s="24">
        <f t="shared" ref="P231" si="367">+L231/Q231</f>
        <v>20.345148297904206</v>
      </c>
      <c r="Q231" s="51">
        <f t="shared" ref="Q231" si="368">555*40/70*0.95*0.9144</f>
        <v>275.49565714285711</v>
      </c>
    </row>
    <row r="232" spans="1:18" s="28" customFormat="1">
      <c r="A232" s="78">
        <v>229</v>
      </c>
      <c r="B232" s="81" t="s">
        <v>161</v>
      </c>
      <c r="C232" s="66" t="s">
        <v>198</v>
      </c>
      <c r="D232" s="31" t="s">
        <v>178</v>
      </c>
      <c r="E232" s="7">
        <v>46216</v>
      </c>
      <c r="F232" s="4" t="s">
        <v>254</v>
      </c>
      <c r="G232" s="4" t="s">
        <v>255</v>
      </c>
      <c r="H232" s="4" t="s">
        <v>199</v>
      </c>
      <c r="I232" s="5">
        <v>9318</v>
      </c>
      <c r="J232" s="36" t="s">
        <v>55</v>
      </c>
      <c r="K232" s="2">
        <v>5000</v>
      </c>
      <c r="L232" s="25">
        <f t="shared" si="363"/>
        <v>4750</v>
      </c>
      <c r="M232" s="2">
        <f t="shared" si="364"/>
        <v>-250</v>
      </c>
      <c r="N232" s="22">
        <f t="shared" si="358"/>
        <v>0.95</v>
      </c>
      <c r="O232" s="56">
        <f t="shared" ref="O232" si="369">E232+P232+1+2</f>
        <v>46236.332453601179</v>
      </c>
      <c r="P232" s="39">
        <f t="shared" si="365"/>
        <v>17.332453601177459</v>
      </c>
      <c r="Q232" s="27">
        <f t="shared" si="366"/>
        <v>274.0523707317073</v>
      </c>
      <c r="R232" s="28" t="s">
        <v>395</v>
      </c>
    </row>
    <row r="233" spans="1:18" s="28" customFormat="1">
      <c r="A233" s="78">
        <v>230</v>
      </c>
      <c r="B233" s="98" t="s">
        <v>208</v>
      </c>
      <c r="C233" s="33" t="s">
        <v>184</v>
      </c>
      <c r="D233" s="30" t="s">
        <v>178</v>
      </c>
      <c r="E233" s="7">
        <v>46218</v>
      </c>
      <c r="F233" s="86" t="s">
        <v>209</v>
      </c>
      <c r="G233" s="86" t="s">
        <v>210</v>
      </c>
      <c r="H233" s="86" t="s">
        <v>185</v>
      </c>
      <c r="I233" s="5">
        <v>6700</v>
      </c>
      <c r="J233" s="6" t="s">
        <v>50</v>
      </c>
      <c r="K233" s="2">
        <v>5900</v>
      </c>
      <c r="L233" s="25">
        <f t="shared" si="363"/>
        <v>5605</v>
      </c>
      <c r="M233" s="2">
        <f>+L233-K233</f>
        <v>-295</v>
      </c>
      <c r="N233" s="21">
        <f>+L233/K233</f>
        <v>0.95</v>
      </c>
      <c r="O233" s="8">
        <f>+E233+P233+1+3</f>
        <v>46242.345148297907</v>
      </c>
      <c r="P233" s="24">
        <f t="shared" ref="P233" si="370">+L233/Q233</f>
        <v>20.345148297904206</v>
      </c>
      <c r="Q233" s="51">
        <f t="shared" ref="Q233" si="371">555*40/70*0.95*0.9144</f>
        <v>275.49565714285711</v>
      </c>
    </row>
    <row r="234" spans="1:18" s="28" customFormat="1">
      <c r="A234" s="78">
        <v>231</v>
      </c>
      <c r="B234" s="81" t="s">
        <v>161</v>
      </c>
      <c r="C234" s="66" t="s">
        <v>198</v>
      </c>
      <c r="D234" s="31" t="s">
        <v>178</v>
      </c>
      <c r="E234" s="7">
        <v>46216</v>
      </c>
      <c r="F234" s="4" t="s">
        <v>254</v>
      </c>
      <c r="G234" s="4" t="s">
        <v>255</v>
      </c>
      <c r="H234" s="4" t="s">
        <v>199</v>
      </c>
      <c r="I234" s="5">
        <v>9318</v>
      </c>
      <c r="J234" s="36" t="s">
        <v>46</v>
      </c>
      <c r="K234" s="2">
        <v>3058</v>
      </c>
      <c r="L234" s="25">
        <f t="shared" si="363"/>
        <v>2905.1</v>
      </c>
      <c r="M234" s="2">
        <f t="shared" si="364"/>
        <v>-152.90000000000009</v>
      </c>
      <c r="N234" s="22">
        <f t="shared" si="358"/>
        <v>0.95</v>
      </c>
      <c r="O234" s="56">
        <f>E234+P234+1+1</f>
        <v>46228.600528622483</v>
      </c>
      <c r="P234" s="39">
        <f t="shared" si="365"/>
        <v>10.600528622480134</v>
      </c>
      <c r="Q234" s="27">
        <f t="shared" si="366"/>
        <v>274.0523707317073</v>
      </c>
      <c r="R234" s="28" t="s">
        <v>395</v>
      </c>
    </row>
    <row r="235" spans="1:18" s="28" customFormat="1">
      <c r="A235" s="78">
        <v>232</v>
      </c>
      <c r="B235" s="81" t="s">
        <v>161</v>
      </c>
      <c r="C235" s="3">
        <v>66.5</v>
      </c>
      <c r="D235" s="31" t="s">
        <v>178</v>
      </c>
      <c r="E235" s="7">
        <v>46206</v>
      </c>
      <c r="F235" s="4" t="s">
        <v>297</v>
      </c>
      <c r="G235" s="4" t="s">
        <v>296</v>
      </c>
      <c r="H235" s="4" t="s">
        <v>231</v>
      </c>
      <c r="I235" s="5">
        <v>9318</v>
      </c>
      <c r="J235" s="36" t="s">
        <v>121</v>
      </c>
      <c r="K235" s="2">
        <v>5000</v>
      </c>
      <c r="L235" s="2">
        <f>K235*0.95</f>
        <v>4750</v>
      </c>
      <c r="M235" s="2">
        <f>L235-K235</f>
        <v>-250</v>
      </c>
      <c r="N235" s="22">
        <f>+L235/K235</f>
        <v>0.95</v>
      </c>
      <c r="O235" s="56">
        <f>E235+P235+1+3</f>
        <v>46227.332453601179</v>
      </c>
      <c r="P235" s="39">
        <f>L235/Q235</f>
        <v>17.332453601177459</v>
      </c>
      <c r="Q235" s="27">
        <f t="shared" ref="Q235:Q236" si="372">640*40/82*0.96*0.9144</f>
        <v>274.0523707317073</v>
      </c>
    </row>
    <row r="236" spans="1:18" s="28" customFormat="1">
      <c r="A236" s="78">
        <v>233</v>
      </c>
      <c r="B236" s="81" t="s">
        <v>161</v>
      </c>
      <c r="C236" s="3">
        <v>66.5</v>
      </c>
      <c r="D236" s="31" t="s">
        <v>178</v>
      </c>
      <c r="E236" s="7">
        <v>46209</v>
      </c>
      <c r="F236" s="4" t="s">
        <v>297</v>
      </c>
      <c r="G236" s="4" t="s">
        <v>296</v>
      </c>
      <c r="H236" s="4" t="s">
        <v>231</v>
      </c>
      <c r="I236" s="5">
        <v>9318</v>
      </c>
      <c r="J236" s="36" t="s">
        <v>108</v>
      </c>
      <c r="K236" s="2">
        <v>5180</v>
      </c>
      <c r="L236" s="2">
        <f>K236*0.95</f>
        <v>4921</v>
      </c>
      <c r="M236" s="2">
        <f>L236-K236</f>
        <v>-259</v>
      </c>
      <c r="N236" s="22">
        <f>+L236/K236</f>
        <v>0.95</v>
      </c>
      <c r="O236" s="8">
        <f>+E236+P236+1+3</f>
        <v>46230.956421930823</v>
      </c>
      <c r="P236" s="39">
        <f>L236/Q236</f>
        <v>17.956421930819847</v>
      </c>
      <c r="Q236" s="27">
        <f t="shared" si="372"/>
        <v>274.0523707317073</v>
      </c>
    </row>
    <row r="237" spans="1:18" s="28" customFormat="1">
      <c r="A237" s="78">
        <v>234</v>
      </c>
      <c r="B237" s="81" t="s">
        <v>161</v>
      </c>
      <c r="C237" s="3">
        <v>66.5</v>
      </c>
      <c r="D237" s="31" t="s">
        <v>178</v>
      </c>
      <c r="E237" s="7">
        <v>46206</v>
      </c>
      <c r="F237" s="4" t="s">
        <v>297</v>
      </c>
      <c r="G237" s="4" t="s">
        <v>296</v>
      </c>
      <c r="H237" s="4" t="s">
        <v>231</v>
      </c>
      <c r="I237" s="5">
        <v>9318</v>
      </c>
      <c r="J237" s="36" t="s">
        <v>365</v>
      </c>
      <c r="K237" s="2">
        <v>4500</v>
      </c>
      <c r="L237" s="2">
        <f>K237*0.95</f>
        <v>4275</v>
      </c>
      <c r="M237" s="2">
        <f>L237-K237</f>
        <v>-225</v>
      </c>
      <c r="N237" s="22">
        <f>+L237/K237</f>
        <v>0.95</v>
      </c>
      <c r="O237" s="56">
        <f>E237+P237+1+3</f>
        <v>46225.599208241059</v>
      </c>
      <c r="P237" s="39">
        <f>L237/Q237</f>
        <v>15.599208241059712</v>
      </c>
      <c r="Q237" s="27">
        <f t="shared" ref="Q237" si="373">640*40/82*0.96*0.9144</f>
        <v>274.0523707317073</v>
      </c>
    </row>
    <row r="238" spans="1:18" s="28" customFormat="1">
      <c r="A238" s="78">
        <v>235</v>
      </c>
      <c r="B238" s="81" t="s">
        <v>161</v>
      </c>
      <c r="C238" s="66" t="s">
        <v>198</v>
      </c>
      <c r="D238" s="31" t="s">
        <v>178</v>
      </c>
      <c r="E238" s="7">
        <v>46186</v>
      </c>
      <c r="F238" s="4" t="s">
        <v>299</v>
      </c>
      <c r="G238" s="4" t="s">
        <v>298</v>
      </c>
      <c r="H238" s="4" t="s">
        <v>199</v>
      </c>
      <c r="I238" s="5">
        <v>9318</v>
      </c>
      <c r="J238" s="36" t="s">
        <v>113</v>
      </c>
      <c r="K238" s="2">
        <v>5000</v>
      </c>
      <c r="L238" s="25">
        <f>+K238*0.95</f>
        <v>4750</v>
      </c>
      <c r="M238" s="2">
        <f t="shared" ref="M238" si="374">L238-K238</f>
        <v>-250</v>
      </c>
      <c r="N238" s="22">
        <f t="shared" ref="N238" si="375">+L238/K238</f>
        <v>0.95</v>
      </c>
      <c r="O238" s="56">
        <f>E238+P238+1+3+23</f>
        <v>46230.332453601179</v>
      </c>
      <c r="P238" s="39">
        <f t="shared" ref="P238" si="376">L238/Q238</f>
        <v>17.332453601177459</v>
      </c>
      <c r="Q238" s="27">
        <f>640*40/82*0.96*0.9144</f>
        <v>274.0523707317073</v>
      </c>
      <c r="R238"/>
    </row>
    <row r="239" spans="1:18" s="28" customFormat="1">
      <c r="A239" s="78">
        <v>236</v>
      </c>
      <c r="B239" s="81" t="s">
        <v>161</v>
      </c>
      <c r="C239" s="3">
        <v>66.5</v>
      </c>
      <c r="D239" s="31" t="s">
        <v>178</v>
      </c>
      <c r="E239" s="7">
        <v>46206</v>
      </c>
      <c r="F239" s="4" t="s">
        <v>297</v>
      </c>
      <c r="G239" s="4" t="s">
        <v>296</v>
      </c>
      <c r="H239" s="4" t="s">
        <v>231</v>
      </c>
      <c r="I239" s="5">
        <v>9318</v>
      </c>
      <c r="J239" s="36" t="s">
        <v>159</v>
      </c>
      <c r="K239" s="2">
        <v>5000</v>
      </c>
      <c r="L239" s="2">
        <f>K239*0.95</f>
        <v>4750</v>
      </c>
      <c r="M239" s="2">
        <f>L239-K239</f>
        <v>-250</v>
      </c>
      <c r="N239" s="22">
        <f>+L239/K239</f>
        <v>0.95</v>
      </c>
      <c r="O239" s="56">
        <f>E239+P239+1+3</f>
        <v>46227.332453601179</v>
      </c>
      <c r="P239" s="39">
        <f>L239/Q239</f>
        <v>17.332453601177459</v>
      </c>
      <c r="Q239" s="27">
        <f t="shared" ref="Q239" si="377">640*40/82*0.96*0.9144</f>
        <v>274.0523707317073</v>
      </c>
    </row>
    <row r="240" spans="1:18" s="28" customFormat="1">
      <c r="A240" s="78">
        <v>237</v>
      </c>
      <c r="B240" s="81" t="s">
        <v>161</v>
      </c>
      <c r="C240" s="3">
        <v>66.5</v>
      </c>
      <c r="D240" s="31" t="s">
        <v>178</v>
      </c>
      <c r="E240" s="7">
        <v>46219</v>
      </c>
      <c r="F240" s="4" t="s">
        <v>297</v>
      </c>
      <c r="G240" s="4" t="s">
        <v>296</v>
      </c>
      <c r="H240" s="4" t="s">
        <v>231</v>
      </c>
      <c r="I240" s="5">
        <v>9318</v>
      </c>
      <c r="J240" s="36" t="s">
        <v>401</v>
      </c>
      <c r="K240" s="2">
        <v>5000</v>
      </c>
      <c r="L240" s="2">
        <f>K240*0.95</f>
        <v>4750</v>
      </c>
      <c r="M240" s="2">
        <f>L240-K240</f>
        <v>-250</v>
      </c>
      <c r="N240" s="22">
        <f>+L240/K240</f>
        <v>0.95</v>
      </c>
      <c r="O240" s="56">
        <f>E240+P240+1+3</f>
        <v>46240.755196371938</v>
      </c>
      <c r="P240" s="39">
        <f>L240/Q240</f>
        <v>17.755196371937885</v>
      </c>
      <c r="Q240" s="27">
        <f t="shared" ref="Q240" si="378">640*40/84*0.96*0.9144</f>
        <v>267.52731428571428</v>
      </c>
      <c r="R240"/>
    </row>
    <row r="241" spans="1:18" s="28" customFormat="1">
      <c r="A241" s="78">
        <v>238</v>
      </c>
      <c r="B241" s="79" t="s">
        <v>174</v>
      </c>
      <c r="C241" s="67" t="s">
        <v>186</v>
      </c>
      <c r="D241" s="31" t="s">
        <v>178</v>
      </c>
      <c r="E241" s="7">
        <v>46210</v>
      </c>
      <c r="F241" s="86" t="s">
        <v>285</v>
      </c>
      <c r="G241" s="86" t="s">
        <v>283</v>
      </c>
      <c r="H241" s="86" t="s">
        <v>301</v>
      </c>
      <c r="I241" s="5">
        <v>4758</v>
      </c>
      <c r="J241" s="6" t="s">
        <v>369</v>
      </c>
      <c r="K241" s="2">
        <v>8000</v>
      </c>
      <c r="L241" s="2">
        <f>+K241*0.975</f>
        <v>7800</v>
      </c>
      <c r="M241" s="12">
        <f>+L241-K241</f>
        <v>-200</v>
      </c>
      <c r="N241" s="21">
        <f>+L241/K241</f>
        <v>0.97499999999999998</v>
      </c>
      <c r="O241" s="8">
        <f>+E241+P241+1+3</f>
        <v>46234.830729492147</v>
      </c>
      <c r="P241" s="25">
        <f>+L241/Q241</f>
        <v>20.830729492146816</v>
      </c>
      <c r="Q241" s="51">
        <f>630*40/60*0.975*0.9144</f>
        <v>374.4468</v>
      </c>
    </row>
    <row r="242" spans="1:18" s="28" customFormat="1">
      <c r="A242" s="78">
        <v>239</v>
      </c>
      <c r="B242" s="81" t="s">
        <v>161</v>
      </c>
      <c r="C242" s="3">
        <v>66.5</v>
      </c>
      <c r="D242" s="31" t="s">
        <v>178</v>
      </c>
      <c r="E242" s="7">
        <v>46220</v>
      </c>
      <c r="F242" s="4" t="s">
        <v>297</v>
      </c>
      <c r="G242" s="4" t="s">
        <v>296</v>
      </c>
      <c r="H242" s="4" t="s">
        <v>231</v>
      </c>
      <c r="I242" s="5">
        <v>9318</v>
      </c>
      <c r="J242" s="36" t="s">
        <v>201</v>
      </c>
      <c r="K242" s="2">
        <v>1406</v>
      </c>
      <c r="L242" s="2">
        <f>K242*0.95</f>
        <v>1335.7</v>
      </c>
      <c r="M242" s="2">
        <f>L242-K242</f>
        <v>-70.299999999999955</v>
      </c>
      <c r="N242" s="22">
        <f>+L242/K242</f>
        <v>0.95000000000000007</v>
      </c>
      <c r="O242" s="56">
        <f>E242+P242+1+1</f>
        <v>46226.873885952649</v>
      </c>
      <c r="P242" s="39">
        <f>L242/Q242</f>
        <v>4.8738859526511016</v>
      </c>
      <c r="Q242" s="27">
        <f t="shared" ref="Q242" si="379">640*40/82*0.96*0.9144</f>
        <v>274.0523707317073</v>
      </c>
      <c r="R242"/>
    </row>
    <row r="243" spans="1:18" s="28" customFormat="1">
      <c r="A243" s="78">
        <v>240</v>
      </c>
      <c r="B243" s="81" t="s">
        <v>161</v>
      </c>
      <c r="C243" s="66" t="s">
        <v>198</v>
      </c>
      <c r="D243" s="31" t="s">
        <v>178</v>
      </c>
      <c r="E243" s="7">
        <v>46216</v>
      </c>
      <c r="F243" s="4" t="s">
        <v>254</v>
      </c>
      <c r="G243" s="4" t="s">
        <v>255</v>
      </c>
      <c r="H243" s="4" t="s">
        <v>199</v>
      </c>
      <c r="I243" s="5">
        <v>9318</v>
      </c>
      <c r="J243" s="36" t="s">
        <v>112</v>
      </c>
      <c r="K243" s="2">
        <v>5000</v>
      </c>
      <c r="L243" s="25">
        <f t="shared" ref="L243" si="380">+K243*0.95</f>
        <v>4750</v>
      </c>
      <c r="M243" s="2">
        <f t="shared" ref="M243" si="381">L243-K243</f>
        <v>-250</v>
      </c>
      <c r="N243" s="22">
        <f t="shared" ref="N243" si="382">+L243/K243</f>
        <v>0.95</v>
      </c>
      <c r="O243" s="56">
        <f>E243+P243+1+2</f>
        <v>46236.332453601179</v>
      </c>
      <c r="P243" s="39">
        <f t="shared" ref="P243" si="383">L243/Q243</f>
        <v>17.332453601177459</v>
      </c>
      <c r="Q243" s="27">
        <f t="shared" ref="Q243" si="384">640*40/82*0.96*0.9144</f>
        <v>274.0523707317073</v>
      </c>
    </row>
    <row r="244" spans="1:18" s="28" customFormat="1" ht="14.25" customHeight="1">
      <c r="A244" s="78">
        <v>241</v>
      </c>
      <c r="B244" s="81" t="s">
        <v>161</v>
      </c>
      <c r="C244" s="3">
        <v>66.5</v>
      </c>
      <c r="D244" s="31" t="s">
        <v>178</v>
      </c>
      <c r="E244" s="7">
        <v>46212</v>
      </c>
      <c r="F244" s="4" t="s">
        <v>297</v>
      </c>
      <c r="G244" s="4" t="s">
        <v>296</v>
      </c>
      <c r="H244" s="4" t="s">
        <v>231</v>
      </c>
      <c r="I244" s="5">
        <v>9318</v>
      </c>
      <c r="J244" s="36" t="s">
        <v>219</v>
      </c>
      <c r="K244" s="2">
        <v>5000</v>
      </c>
      <c r="L244" s="2">
        <f>K244*0.95</f>
        <v>4750</v>
      </c>
      <c r="M244" s="2">
        <f>L244-K244</f>
        <v>-250</v>
      </c>
      <c r="N244" s="22">
        <f>+L244/K244</f>
        <v>0.95</v>
      </c>
      <c r="O244" s="56">
        <f>E244+P244+1+3</f>
        <v>46233.332453601179</v>
      </c>
      <c r="P244" s="39">
        <f>L244/Q244</f>
        <v>17.332453601177459</v>
      </c>
      <c r="Q244" s="27">
        <f t="shared" ref="Q244" si="385">640*40/82*0.96*0.9144</f>
        <v>274.0523707317073</v>
      </c>
      <c r="R244"/>
    </row>
    <row r="245" spans="1:18" s="28" customFormat="1">
      <c r="A245" s="78">
        <v>242</v>
      </c>
      <c r="B245" s="82" t="s">
        <v>316</v>
      </c>
      <c r="C245" s="3" t="s">
        <v>317</v>
      </c>
      <c r="D245" s="31" t="s">
        <v>178</v>
      </c>
      <c r="E245" s="7">
        <v>46175</v>
      </c>
      <c r="F245" s="4" t="s">
        <v>295</v>
      </c>
      <c r="G245" s="4" t="s">
        <v>294</v>
      </c>
      <c r="H245" s="4" t="s">
        <v>231</v>
      </c>
      <c r="I245" s="37">
        <v>7825</v>
      </c>
      <c r="J245" s="4" t="s">
        <v>322</v>
      </c>
      <c r="K245" s="2">
        <v>5000</v>
      </c>
      <c r="L245" s="2">
        <f t="shared" ref="L245:L246" si="386">+K245*0.95</f>
        <v>4750</v>
      </c>
      <c r="M245" s="2">
        <f t="shared" ref="M245" si="387">L245-K245</f>
        <v>-250</v>
      </c>
      <c r="N245" s="22">
        <f t="shared" ref="N245" si="388">+L245/K245</f>
        <v>0.95</v>
      </c>
      <c r="O245" s="56">
        <f>E245+P245+1+4</f>
        <v>46196.649561433027</v>
      </c>
      <c r="P245" s="39">
        <f t="shared" ref="P245" si="389">L245/Q245</f>
        <v>16.649561433026001</v>
      </c>
      <c r="Q245" s="27">
        <f>650*40/80*0.96*0.9144</f>
        <v>285.2928</v>
      </c>
      <c r="R245"/>
    </row>
    <row r="246" spans="1:18" s="28" customFormat="1">
      <c r="A246" s="78">
        <v>243</v>
      </c>
      <c r="B246" s="81" t="s">
        <v>161</v>
      </c>
      <c r="C246" s="3">
        <v>66.5</v>
      </c>
      <c r="D246" s="31" t="s">
        <v>178</v>
      </c>
      <c r="E246" s="7">
        <v>46214</v>
      </c>
      <c r="F246" s="4" t="s">
        <v>297</v>
      </c>
      <c r="G246" s="4" t="s">
        <v>296</v>
      </c>
      <c r="H246" s="4" t="s">
        <v>231</v>
      </c>
      <c r="I246" s="5">
        <v>9318</v>
      </c>
      <c r="J246" s="36" t="s">
        <v>394</v>
      </c>
      <c r="K246" s="2">
        <v>5180</v>
      </c>
      <c r="L246" s="25">
        <f t="shared" si="386"/>
        <v>4921</v>
      </c>
      <c r="M246" s="2">
        <f>L246-K246</f>
        <v>-259</v>
      </c>
      <c r="N246" s="22">
        <f>+L246/K246</f>
        <v>0.95</v>
      </c>
      <c r="O246" s="56">
        <f>E246+P246+1+3</f>
        <v>46235.956421930823</v>
      </c>
      <c r="P246" s="39">
        <f>L246/Q246</f>
        <v>17.956421930819847</v>
      </c>
      <c r="Q246" s="27">
        <f t="shared" ref="Q246" si="390">640*40/82*0.96*0.9144</f>
        <v>274.0523707317073</v>
      </c>
      <c r="R246"/>
    </row>
    <row r="247" spans="1:18" s="28" customFormat="1">
      <c r="A247" s="78">
        <v>244</v>
      </c>
      <c r="B247" s="82" t="s">
        <v>316</v>
      </c>
      <c r="C247" s="3" t="s">
        <v>317</v>
      </c>
      <c r="D247" s="31" t="s">
        <v>178</v>
      </c>
      <c r="E247" s="7">
        <v>46220</v>
      </c>
      <c r="F247" s="4" t="s">
        <v>295</v>
      </c>
      <c r="G247" s="4" t="s">
        <v>294</v>
      </c>
      <c r="H247" s="4" t="s">
        <v>231</v>
      </c>
      <c r="I247" s="37">
        <v>7825</v>
      </c>
      <c r="J247" s="4" t="s">
        <v>212</v>
      </c>
      <c r="K247" s="2">
        <v>5000</v>
      </c>
      <c r="L247" s="2">
        <f t="shared" ref="L247" si="391">+K247*0.95</f>
        <v>4750</v>
      </c>
      <c r="M247" s="2">
        <f t="shared" ref="M247" si="392">L247-K247</f>
        <v>-250</v>
      </c>
      <c r="N247" s="22">
        <f t="shared" ref="N247" si="393">+L247/K247</f>
        <v>0.95</v>
      </c>
      <c r="O247" s="56">
        <f>E247+P247+1+3</f>
        <v>46240.649561433027</v>
      </c>
      <c r="P247" s="39">
        <f t="shared" ref="P247" si="394">L247/Q247</f>
        <v>16.649561433026001</v>
      </c>
      <c r="Q247" s="27">
        <f>650*40/80*0.96*0.9144</f>
        <v>285.2928</v>
      </c>
      <c r="R247"/>
    </row>
    <row r="248" spans="1:18" s="28" customFormat="1">
      <c r="A248" s="78">
        <v>245</v>
      </c>
      <c r="B248" s="81" t="s">
        <v>161</v>
      </c>
      <c r="C248" s="3">
        <v>66.5</v>
      </c>
      <c r="D248" s="31" t="s">
        <v>178</v>
      </c>
      <c r="E248" s="7">
        <v>46184</v>
      </c>
      <c r="F248" s="4" t="s">
        <v>297</v>
      </c>
      <c r="G248" s="4" t="s">
        <v>296</v>
      </c>
      <c r="H248" s="4" t="s">
        <v>231</v>
      </c>
      <c r="I248" s="5">
        <v>9318</v>
      </c>
      <c r="J248" s="36" t="s">
        <v>335</v>
      </c>
      <c r="K248" s="2">
        <v>4500</v>
      </c>
      <c r="L248" s="2">
        <f>K248*0.95</f>
        <v>4275</v>
      </c>
      <c r="M248" s="2">
        <f>L248-K248</f>
        <v>-225</v>
      </c>
      <c r="N248" s="22">
        <f>+L248/K248</f>
        <v>0.95</v>
      </c>
      <c r="O248" s="8">
        <f>+E248+P248+1+3+17</f>
        <v>46220.599208241059</v>
      </c>
      <c r="P248" s="39">
        <f>L248/Q248</f>
        <v>15.599208241059712</v>
      </c>
      <c r="Q248" s="27">
        <f>640*40/82*0.96*0.9144</f>
        <v>274.0523707317073</v>
      </c>
      <c r="R248"/>
    </row>
    <row r="249" spans="1:18" s="28" customFormat="1">
      <c r="A249" s="78">
        <v>246</v>
      </c>
      <c r="B249" s="82" t="s">
        <v>316</v>
      </c>
      <c r="C249" s="3" t="s">
        <v>317</v>
      </c>
      <c r="D249" s="31" t="s">
        <v>178</v>
      </c>
      <c r="E249" s="7">
        <v>46174</v>
      </c>
      <c r="F249" s="4" t="s">
        <v>295</v>
      </c>
      <c r="G249" s="4" t="s">
        <v>294</v>
      </c>
      <c r="H249" s="4" t="s">
        <v>231</v>
      </c>
      <c r="I249" s="37">
        <v>7825</v>
      </c>
      <c r="J249" s="4" t="s">
        <v>262</v>
      </c>
      <c r="K249" s="2">
        <v>5000</v>
      </c>
      <c r="L249" s="2">
        <f t="shared" ref="L249" si="395">+K249*0.95</f>
        <v>4750</v>
      </c>
      <c r="M249" s="2">
        <f t="shared" ref="M249" si="396">L249-K249</f>
        <v>-250</v>
      </c>
      <c r="N249" s="22">
        <f t="shared" ref="N249" si="397">+L249/K249</f>
        <v>0.95</v>
      </c>
      <c r="O249" s="56">
        <f>E249+P249+1+4</f>
        <v>46195.649561433027</v>
      </c>
      <c r="P249" s="39">
        <f t="shared" ref="P249" si="398">L249/Q249</f>
        <v>16.649561433026001</v>
      </c>
      <c r="Q249" s="27">
        <f>650*40/80*0.96*0.9144</f>
        <v>285.2928</v>
      </c>
      <c r="R249"/>
    </row>
    <row r="250" spans="1:18" s="28" customFormat="1">
      <c r="A250" s="78">
        <v>247</v>
      </c>
      <c r="B250" s="81" t="s">
        <v>161</v>
      </c>
      <c r="C250" s="3">
        <v>66.5</v>
      </c>
      <c r="D250" s="31" t="s">
        <v>178</v>
      </c>
      <c r="E250" s="7">
        <v>46211</v>
      </c>
      <c r="F250" s="4" t="s">
        <v>297</v>
      </c>
      <c r="G250" s="4" t="s">
        <v>296</v>
      </c>
      <c r="H250" s="4" t="s">
        <v>231</v>
      </c>
      <c r="I250" s="5">
        <v>9318</v>
      </c>
      <c r="J250" s="36" t="s">
        <v>381</v>
      </c>
      <c r="K250" s="2">
        <v>5000</v>
      </c>
      <c r="L250" s="2">
        <f>K250*0.95</f>
        <v>4750</v>
      </c>
      <c r="M250" s="2">
        <f t="shared" ref="M250:M255" si="399">L250-K250</f>
        <v>-250</v>
      </c>
      <c r="N250" s="22">
        <f t="shared" ref="N250:N255" si="400">+L250/K250</f>
        <v>0.95</v>
      </c>
      <c r="O250" s="56">
        <f>E250+P250+1+3</f>
        <v>46232.332453601179</v>
      </c>
      <c r="P250" s="39">
        <f t="shared" ref="P250:P255" si="401">L250/Q250</f>
        <v>17.332453601177459</v>
      </c>
      <c r="Q250" s="27">
        <f t="shared" ref="Q250:Q255" si="402">640*40/82*0.96*0.9144</f>
        <v>274.0523707317073</v>
      </c>
      <c r="R250"/>
    </row>
    <row r="251" spans="1:18" s="28" customFormat="1">
      <c r="A251" s="78">
        <v>248</v>
      </c>
      <c r="B251" s="81" t="s">
        <v>161</v>
      </c>
      <c r="C251" s="3">
        <v>66.5</v>
      </c>
      <c r="D251" s="31" t="s">
        <v>178</v>
      </c>
      <c r="E251" s="7">
        <v>46219</v>
      </c>
      <c r="F251" s="4" t="s">
        <v>297</v>
      </c>
      <c r="G251" s="4" t="s">
        <v>296</v>
      </c>
      <c r="H251" s="4" t="s">
        <v>231</v>
      </c>
      <c r="I251" s="5">
        <v>9318</v>
      </c>
      <c r="J251" s="36" t="s">
        <v>402</v>
      </c>
      <c r="K251" s="2">
        <v>5000</v>
      </c>
      <c r="L251" s="2">
        <f>K251*0.95</f>
        <v>4750</v>
      </c>
      <c r="M251" s="2">
        <f t="shared" si="399"/>
        <v>-250</v>
      </c>
      <c r="N251" s="22">
        <f t="shared" si="400"/>
        <v>0.95</v>
      </c>
      <c r="O251" s="56">
        <f>E251+P251+1+3</f>
        <v>46240.755196371938</v>
      </c>
      <c r="P251" s="39">
        <f t="shared" si="401"/>
        <v>17.755196371937885</v>
      </c>
      <c r="Q251" s="27">
        <f t="shared" ref="Q251" si="403">640*40/84*0.96*0.9144</f>
        <v>267.52731428571428</v>
      </c>
      <c r="R251"/>
    </row>
    <row r="252" spans="1:18" s="28" customFormat="1">
      <c r="A252" s="78">
        <v>249</v>
      </c>
      <c r="B252" s="81" t="s">
        <v>161</v>
      </c>
      <c r="C252" s="3">
        <v>66.5</v>
      </c>
      <c r="D252" s="31" t="s">
        <v>178</v>
      </c>
      <c r="E252" s="7">
        <v>46211</v>
      </c>
      <c r="F252" s="4" t="s">
        <v>297</v>
      </c>
      <c r="G252" s="4" t="s">
        <v>296</v>
      </c>
      <c r="H252" s="4" t="s">
        <v>231</v>
      </c>
      <c r="I252" s="5">
        <v>9318</v>
      </c>
      <c r="J252" s="36" t="s">
        <v>382</v>
      </c>
      <c r="K252" s="2">
        <v>5000</v>
      </c>
      <c r="L252" s="2">
        <f>K252*0.95</f>
        <v>4750</v>
      </c>
      <c r="M252" s="2">
        <f t="shared" si="399"/>
        <v>-250</v>
      </c>
      <c r="N252" s="22">
        <f t="shared" si="400"/>
        <v>0.95</v>
      </c>
      <c r="O252" s="56">
        <f t="shared" ref="O252:O253" si="404">E252+P252+1+3</f>
        <v>46232.332453601179</v>
      </c>
      <c r="P252" s="39">
        <f t="shared" si="401"/>
        <v>17.332453601177459</v>
      </c>
      <c r="Q252" s="27">
        <f t="shared" si="402"/>
        <v>274.0523707317073</v>
      </c>
      <c r="R252"/>
    </row>
    <row r="253" spans="1:18" s="28" customFormat="1">
      <c r="A253" s="78">
        <v>250</v>
      </c>
      <c r="B253" s="81" t="s">
        <v>161</v>
      </c>
      <c r="C253" s="3">
        <v>66.5</v>
      </c>
      <c r="D253" s="31" t="s">
        <v>178</v>
      </c>
      <c r="E253" s="7">
        <v>46211</v>
      </c>
      <c r="F253" s="4" t="s">
        <v>297</v>
      </c>
      <c r="G253" s="4" t="s">
        <v>296</v>
      </c>
      <c r="H253" s="4" t="s">
        <v>231</v>
      </c>
      <c r="I253" s="5">
        <v>9318</v>
      </c>
      <c r="J253" s="36" t="s">
        <v>383</v>
      </c>
      <c r="K253" s="2">
        <v>5000</v>
      </c>
      <c r="L253" s="2">
        <f>K253*0.95</f>
        <v>4750</v>
      </c>
      <c r="M253" s="2">
        <f t="shared" si="399"/>
        <v>-250</v>
      </c>
      <c r="N253" s="22">
        <f t="shared" si="400"/>
        <v>0.95</v>
      </c>
      <c r="O253" s="56">
        <f t="shared" si="404"/>
        <v>46232.332453601179</v>
      </c>
      <c r="P253" s="39">
        <f t="shared" si="401"/>
        <v>17.332453601177459</v>
      </c>
      <c r="Q253" s="27">
        <f t="shared" si="402"/>
        <v>274.0523707317073</v>
      </c>
      <c r="R253"/>
    </row>
    <row r="254" spans="1:18" s="28" customFormat="1">
      <c r="A254" s="78">
        <v>251</v>
      </c>
      <c r="B254" s="81" t="s">
        <v>161</v>
      </c>
      <c r="C254" s="3">
        <v>66.5</v>
      </c>
      <c r="D254" s="31" t="s">
        <v>178</v>
      </c>
      <c r="E254" s="7">
        <v>46209</v>
      </c>
      <c r="F254" s="4" t="s">
        <v>297</v>
      </c>
      <c r="G254" s="4" t="s">
        <v>296</v>
      </c>
      <c r="H254" s="4" t="s">
        <v>231</v>
      </c>
      <c r="I254" s="5">
        <v>9318</v>
      </c>
      <c r="J254" s="36" t="s">
        <v>373</v>
      </c>
      <c r="K254" s="2">
        <v>5000</v>
      </c>
      <c r="L254" s="2">
        <f>K254*0.95</f>
        <v>4750</v>
      </c>
      <c r="M254" s="2">
        <f t="shared" si="399"/>
        <v>-250</v>
      </c>
      <c r="N254" s="22">
        <f t="shared" si="400"/>
        <v>0.95</v>
      </c>
      <c r="O254" s="8">
        <f>+E254+P254+1+3</f>
        <v>46230.332453601179</v>
      </c>
      <c r="P254" s="39">
        <f t="shared" si="401"/>
        <v>17.332453601177459</v>
      </c>
      <c r="Q254" s="27">
        <f t="shared" si="402"/>
        <v>274.0523707317073</v>
      </c>
      <c r="R254"/>
    </row>
    <row r="255" spans="1:18" s="28" customFormat="1">
      <c r="A255" s="78">
        <v>252</v>
      </c>
      <c r="B255" s="81" t="s">
        <v>161</v>
      </c>
      <c r="C255" s="3">
        <v>66.5</v>
      </c>
      <c r="D255" s="31" t="s">
        <v>178</v>
      </c>
      <c r="E255" s="7">
        <v>46213</v>
      </c>
      <c r="F255" s="4" t="s">
        <v>297</v>
      </c>
      <c r="G255" s="4" t="s">
        <v>296</v>
      </c>
      <c r="H255" s="4" t="s">
        <v>231</v>
      </c>
      <c r="I255" s="5">
        <v>9318</v>
      </c>
      <c r="J255" s="36" t="s">
        <v>390</v>
      </c>
      <c r="K255" s="2">
        <v>5180</v>
      </c>
      <c r="L255" s="25">
        <f t="shared" ref="L255" si="405">+K255*0.95</f>
        <v>4921</v>
      </c>
      <c r="M255" s="2">
        <f t="shared" si="399"/>
        <v>-259</v>
      </c>
      <c r="N255" s="22">
        <f t="shared" si="400"/>
        <v>0.95</v>
      </c>
      <c r="O255" s="56">
        <f>E255+P255+1+3</f>
        <v>46234.956421930823</v>
      </c>
      <c r="P255" s="39">
        <f t="shared" si="401"/>
        <v>17.956421930819847</v>
      </c>
      <c r="Q255" s="27">
        <f t="shared" si="402"/>
        <v>274.0523707317073</v>
      </c>
      <c r="R255"/>
    </row>
    <row r="256" spans="1:18" s="28" customFormat="1">
      <c r="A256" s="78">
        <v>253</v>
      </c>
      <c r="B256" s="71"/>
      <c r="C256" s="3"/>
      <c r="D256" s="31"/>
      <c r="E256" s="7"/>
      <c r="F256" s="4"/>
      <c r="G256" s="4"/>
      <c r="H256" s="4"/>
      <c r="I256" s="37"/>
      <c r="J256" s="4"/>
      <c r="K256" s="5"/>
      <c r="L256" s="5"/>
      <c r="M256" s="2"/>
      <c r="N256" s="22"/>
      <c r="O256" s="8"/>
      <c r="P256" s="39"/>
      <c r="Q256" s="27"/>
    </row>
    <row r="257" spans="1:20" s="28" customFormat="1">
      <c r="A257" s="78">
        <v>254</v>
      </c>
      <c r="B257" s="71"/>
      <c r="C257" s="3"/>
      <c r="D257" s="31"/>
      <c r="E257" s="7"/>
      <c r="F257" s="4"/>
      <c r="G257" s="4"/>
      <c r="H257" s="4"/>
      <c r="I257" s="37"/>
      <c r="J257" s="4"/>
      <c r="K257" s="5"/>
      <c r="L257" s="2"/>
      <c r="M257" s="2"/>
      <c r="N257" s="22"/>
      <c r="O257" s="8"/>
      <c r="P257" s="39"/>
      <c r="Q257" s="27"/>
    </row>
    <row r="258" spans="1:20" s="28" customFormat="1">
      <c r="A258" s="78">
        <v>255</v>
      </c>
      <c r="B258" s="71"/>
      <c r="C258" s="3"/>
      <c r="D258" s="31"/>
      <c r="E258" s="7"/>
      <c r="F258" s="4"/>
      <c r="G258" s="4"/>
      <c r="H258" s="4"/>
      <c r="I258" s="37"/>
      <c r="J258" s="36"/>
      <c r="K258" s="2"/>
      <c r="L258" s="25"/>
      <c r="M258" s="2"/>
      <c r="N258" s="22"/>
      <c r="O258" s="56"/>
      <c r="P258" s="39"/>
      <c r="Q258" s="27"/>
    </row>
    <row r="259" spans="1:20">
      <c r="A259" s="78">
        <v>256</v>
      </c>
      <c r="B259" s="71"/>
      <c r="C259" s="3"/>
      <c r="D259" s="31"/>
      <c r="E259" s="7"/>
      <c r="F259" s="4"/>
      <c r="G259" s="4"/>
      <c r="H259" s="4"/>
      <c r="I259" s="37"/>
      <c r="J259" s="9"/>
      <c r="K259" s="5"/>
      <c r="L259" s="25"/>
      <c r="M259" s="2"/>
      <c r="N259" s="22"/>
      <c r="O259" s="8"/>
      <c r="P259" s="39"/>
      <c r="Q259" s="27"/>
      <c r="T259" s="28"/>
    </row>
    <row r="260" spans="1:20" s="28" customFormat="1">
      <c r="A260" s="78">
        <v>257</v>
      </c>
      <c r="B260" s="71"/>
      <c r="C260" s="3"/>
      <c r="D260" s="31"/>
      <c r="E260" s="7"/>
      <c r="F260" s="4"/>
      <c r="G260" s="4"/>
      <c r="H260" s="4"/>
      <c r="I260" s="37"/>
      <c r="J260" s="36"/>
      <c r="K260" s="2"/>
      <c r="L260" s="25"/>
      <c r="M260" s="2"/>
      <c r="N260" s="22"/>
      <c r="O260" s="56"/>
      <c r="P260" s="39"/>
      <c r="Q260" s="27"/>
      <c r="T260"/>
    </row>
    <row r="261" spans="1:20" s="28" customFormat="1">
      <c r="A261" s="78">
        <v>258</v>
      </c>
      <c r="B261" s="71"/>
      <c r="C261" s="3"/>
      <c r="D261" s="31"/>
      <c r="E261" s="7"/>
      <c r="F261" s="4"/>
      <c r="G261" s="4"/>
      <c r="H261" s="4"/>
      <c r="I261" s="37"/>
      <c r="J261" s="4"/>
      <c r="K261" s="5"/>
      <c r="L261" s="25"/>
      <c r="M261" s="2"/>
      <c r="N261" s="22"/>
      <c r="O261" s="8"/>
      <c r="P261" s="39"/>
      <c r="Q261" s="27"/>
    </row>
    <row r="262" spans="1:20" s="28" customFormat="1">
      <c r="A262" s="78">
        <v>259</v>
      </c>
      <c r="B262" s="71"/>
      <c r="C262" s="3"/>
      <c r="D262" s="31"/>
      <c r="E262" s="7"/>
      <c r="F262" s="4"/>
      <c r="G262" s="4"/>
      <c r="H262" s="4"/>
      <c r="I262" s="37"/>
      <c r="J262" s="4"/>
      <c r="K262" s="5"/>
      <c r="L262" s="5"/>
      <c r="M262" s="2"/>
      <c r="N262" s="22"/>
      <c r="O262" s="8"/>
      <c r="P262" s="39"/>
      <c r="Q262" s="27"/>
    </row>
    <row r="263" spans="1:20" s="28" customFormat="1">
      <c r="A263" s="78">
        <v>260</v>
      </c>
      <c r="B263" s="71"/>
      <c r="C263" s="3"/>
      <c r="D263" s="31"/>
      <c r="E263" s="7"/>
      <c r="F263" s="4"/>
      <c r="G263" s="4"/>
      <c r="H263" s="4"/>
      <c r="I263" s="37"/>
      <c r="J263" s="4"/>
      <c r="K263" s="5"/>
      <c r="L263" s="2"/>
      <c r="M263" s="2"/>
      <c r="N263" s="22"/>
      <c r="O263" s="8"/>
      <c r="P263" s="39"/>
      <c r="Q263" s="27"/>
    </row>
    <row r="264" spans="1:20" s="28" customFormat="1">
      <c r="A264" s="78">
        <v>261</v>
      </c>
      <c r="B264" s="75"/>
      <c r="C264" s="33"/>
      <c r="D264" s="31"/>
      <c r="E264" s="7"/>
      <c r="F264" s="11"/>
      <c r="G264" s="11"/>
      <c r="H264" s="4"/>
      <c r="I264" s="5"/>
      <c r="J264" s="6"/>
      <c r="K264" s="2"/>
      <c r="L264" s="2"/>
      <c r="M264" s="2"/>
      <c r="N264" s="21"/>
      <c r="O264" s="56"/>
      <c r="P264" s="25"/>
      <c r="Q264" s="51"/>
      <c r="R264" s="92"/>
    </row>
    <row r="265" spans="1:20" s="28" customFormat="1">
      <c r="A265" s="78">
        <v>262</v>
      </c>
      <c r="B265" s="75"/>
      <c r="C265" s="33"/>
      <c r="D265" s="31"/>
      <c r="E265" s="7"/>
      <c r="F265" s="11"/>
      <c r="G265" s="11"/>
      <c r="H265" s="4"/>
      <c r="I265" s="5"/>
      <c r="J265" s="6"/>
      <c r="K265" s="2"/>
      <c r="L265" s="2"/>
      <c r="M265" s="2"/>
      <c r="N265" s="21"/>
      <c r="O265" s="56"/>
      <c r="P265" s="25"/>
      <c r="Q265" s="51"/>
      <c r="R265" s="92"/>
    </row>
    <row r="266" spans="1:20" s="28" customFormat="1">
      <c r="A266" s="78">
        <v>263</v>
      </c>
      <c r="B266" s="75"/>
      <c r="C266" s="33"/>
      <c r="D266" s="31"/>
      <c r="E266" s="7"/>
      <c r="F266" s="11"/>
      <c r="G266" s="11"/>
      <c r="H266" s="4"/>
      <c r="I266" s="5"/>
      <c r="J266" s="6"/>
      <c r="K266" s="2"/>
      <c r="L266" s="2"/>
      <c r="M266" s="2"/>
      <c r="N266" s="21"/>
      <c r="O266" s="56"/>
      <c r="P266" s="25"/>
      <c r="Q266" s="51"/>
      <c r="R266" s="92"/>
    </row>
    <row r="267" spans="1:20" s="28" customFormat="1">
      <c r="A267" s="78">
        <v>264</v>
      </c>
      <c r="B267" s="75"/>
      <c r="C267" s="33"/>
      <c r="D267" s="31"/>
      <c r="E267" s="7"/>
      <c r="F267" s="11"/>
      <c r="G267" s="11"/>
      <c r="H267" s="4"/>
      <c r="I267" s="5"/>
      <c r="J267" s="6"/>
      <c r="K267" s="2"/>
      <c r="L267" s="2"/>
      <c r="M267" s="2"/>
      <c r="N267" s="21"/>
      <c r="O267" s="56"/>
      <c r="P267" s="25"/>
      <c r="Q267" s="51"/>
      <c r="R267" s="92"/>
    </row>
    <row r="268" spans="1:20" s="28" customFormat="1">
      <c r="A268" s="78">
        <v>265</v>
      </c>
      <c r="B268" s="75"/>
      <c r="C268" s="33"/>
      <c r="D268" s="31"/>
      <c r="E268" s="7"/>
      <c r="F268" s="11"/>
      <c r="G268" s="11"/>
      <c r="H268" s="4"/>
      <c r="I268" s="5"/>
      <c r="J268" s="6"/>
      <c r="K268" s="2"/>
      <c r="L268" s="2"/>
      <c r="M268" s="2"/>
      <c r="N268" s="21"/>
      <c r="O268" s="56"/>
      <c r="P268" s="25"/>
      <c r="Q268" s="51"/>
      <c r="R268" s="92"/>
    </row>
    <row r="269" spans="1:20" s="28" customFormat="1">
      <c r="A269" s="78">
        <v>266</v>
      </c>
      <c r="B269" s="75"/>
      <c r="C269" s="33"/>
      <c r="D269" s="31"/>
      <c r="E269" s="7"/>
      <c r="F269" s="11"/>
      <c r="G269" s="11"/>
      <c r="H269" s="4"/>
      <c r="I269" s="5"/>
      <c r="J269" s="6"/>
      <c r="K269" s="2"/>
      <c r="L269" s="2"/>
      <c r="M269" s="2"/>
      <c r="N269" s="21"/>
      <c r="O269" s="56"/>
      <c r="P269" s="25"/>
      <c r="Q269" s="51"/>
      <c r="R269" s="92"/>
    </row>
    <row r="270" spans="1:20" s="28" customFormat="1">
      <c r="A270" s="78">
        <v>267</v>
      </c>
      <c r="B270" s="75"/>
      <c r="C270" s="33"/>
      <c r="D270" s="31"/>
      <c r="E270" s="7"/>
      <c r="F270" s="11"/>
      <c r="G270" s="11"/>
      <c r="H270" s="4"/>
      <c r="I270" s="5"/>
      <c r="J270" s="6"/>
      <c r="K270" s="2"/>
      <c r="L270" s="2"/>
      <c r="M270" s="2"/>
      <c r="N270" s="21"/>
      <c r="O270" s="56"/>
      <c r="P270" s="25"/>
      <c r="Q270" s="51"/>
      <c r="R270" s="92"/>
    </row>
    <row r="271" spans="1:20" s="28" customFormat="1">
      <c r="A271" s="78">
        <v>268</v>
      </c>
      <c r="B271" s="75"/>
      <c r="C271" s="33"/>
      <c r="D271" s="31"/>
      <c r="E271" s="7"/>
      <c r="F271" s="11"/>
      <c r="G271" s="11"/>
      <c r="H271" s="4"/>
      <c r="I271" s="5"/>
      <c r="J271" s="6"/>
      <c r="K271" s="2"/>
      <c r="L271" s="2"/>
      <c r="M271" s="2"/>
      <c r="N271" s="21"/>
      <c r="O271" s="56"/>
      <c r="P271" s="25"/>
      <c r="Q271" s="51"/>
      <c r="R271" s="92"/>
    </row>
    <row r="272" spans="1:20" s="28" customFormat="1">
      <c r="A272" s="78">
        <v>269</v>
      </c>
      <c r="B272" s="75" t="s">
        <v>318</v>
      </c>
      <c r="C272" s="33" t="s">
        <v>184</v>
      </c>
      <c r="D272" s="31" t="s">
        <v>178</v>
      </c>
      <c r="E272" s="7">
        <v>46184</v>
      </c>
      <c r="F272" s="11" t="s">
        <v>324</v>
      </c>
      <c r="G272" s="11" t="s">
        <v>323</v>
      </c>
      <c r="H272" s="4" t="s">
        <v>319</v>
      </c>
      <c r="I272" s="5">
        <v>4218</v>
      </c>
      <c r="J272" s="6" t="s">
        <v>222</v>
      </c>
      <c r="K272" s="2">
        <v>4000</v>
      </c>
      <c r="L272" s="2">
        <f t="shared" ref="L272" si="406">+K272*0.95</f>
        <v>3800</v>
      </c>
      <c r="M272" s="2">
        <f t="shared" ref="M272" si="407">+L272-K272</f>
        <v>-200</v>
      </c>
      <c r="N272" s="21">
        <f t="shared" ref="N272" si="408">+L272/K272</f>
        <v>0.95</v>
      </c>
      <c r="O272" s="56">
        <f t="shared" ref="O272" si="409">E272+P272+1+1</f>
        <v>46192.819660362969</v>
      </c>
      <c r="P272" s="25">
        <f t="shared" ref="P272" si="410">+L272/Q272</f>
        <v>6.8196603629674497</v>
      </c>
      <c r="Q272" s="51">
        <f t="shared" ref="Q272" si="411">500*40/32*0.975*0.9144</f>
        <v>557.21249999999998</v>
      </c>
      <c r="R272"/>
    </row>
    <row r="273" spans="1:18" s="28" customFormat="1">
      <c r="A273" s="78">
        <v>270</v>
      </c>
      <c r="B273" s="75" t="s">
        <v>318</v>
      </c>
      <c r="C273" s="33" t="s">
        <v>184</v>
      </c>
      <c r="D273" s="31" t="s">
        <v>178</v>
      </c>
      <c r="E273" s="7">
        <v>46183</v>
      </c>
      <c r="F273" s="11" t="s">
        <v>324</v>
      </c>
      <c r="G273" s="11" t="s">
        <v>323</v>
      </c>
      <c r="H273" s="4" t="s">
        <v>319</v>
      </c>
      <c r="I273" s="5">
        <v>4218</v>
      </c>
      <c r="J273" s="6" t="s">
        <v>99</v>
      </c>
      <c r="K273" s="2">
        <v>4100</v>
      </c>
      <c r="L273" s="2">
        <f t="shared" ref="L273:L274" si="412">+K273*0.95</f>
        <v>3895</v>
      </c>
      <c r="M273" s="2">
        <f t="shared" ref="M273:M274" si="413">+L273-K273</f>
        <v>-205</v>
      </c>
      <c r="N273" s="21">
        <f t="shared" ref="N273:N274" si="414">+L273/K273</f>
        <v>0.95</v>
      </c>
      <c r="O273" s="56">
        <f t="shared" ref="O273:O274" si="415">E273+P273+1+1</f>
        <v>46191.990151872043</v>
      </c>
      <c r="P273" s="25">
        <f t="shared" ref="P273:P274" si="416">+L273/Q273</f>
        <v>6.9901518720416362</v>
      </c>
      <c r="Q273" s="51">
        <f t="shared" ref="Q273:Q274" si="417">500*40/32*0.975*0.9144</f>
        <v>557.21249999999998</v>
      </c>
      <c r="R273"/>
    </row>
    <row r="274" spans="1:18" s="28" customFormat="1">
      <c r="A274" s="78">
        <v>271</v>
      </c>
      <c r="B274" s="75" t="s">
        <v>318</v>
      </c>
      <c r="C274" s="33" t="s">
        <v>184</v>
      </c>
      <c r="D274" s="31" t="s">
        <v>178</v>
      </c>
      <c r="E274" s="7">
        <v>46183</v>
      </c>
      <c r="F274" s="11" t="s">
        <v>324</v>
      </c>
      <c r="G274" s="11" t="s">
        <v>323</v>
      </c>
      <c r="H274" s="4" t="s">
        <v>319</v>
      </c>
      <c r="I274" s="5">
        <v>4218</v>
      </c>
      <c r="J274" s="6" t="s">
        <v>334</v>
      </c>
      <c r="K274" s="2">
        <v>4100</v>
      </c>
      <c r="L274" s="2">
        <f t="shared" si="412"/>
        <v>3895</v>
      </c>
      <c r="M274" s="2">
        <f t="shared" si="413"/>
        <v>-205</v>
      </c>
      <c r="N274" s="21">
        <f t="shared" si="414"/>
        <v>0.95</v>
      </c>
      <c r="O274" s="56">
        <f t="shared" si="415"/>
        <v>46191.990151872043</v>
      </c>
      <c r="P274" s="25">
        <f t="shared" si="416"/>
        <v>6.9901518720416362</v>
      </c>
      <c r="Q274" s="51">
        <f t="shared" si="417"/>
        <v>557.21249999999998</v>
      </c>
      <c r="R274"/>
    </row>
    <row r="275" spans="1:18" s="28" customFormat="1">
      <c r="A275" s="78">
        <v>272</v>
      </c>
      <c r="B275" s="75" t="s">
        <v>318</v>
      </c>
      <c r="C275" s="33" t="s">
        <v>184</v>
      </c>
      <c r="D275" s="31" t="s">
        <v>178</v>
      </c>
      <c r="E275" s="7">
        <v>46182</v>
      </c>
      <c r="F275" s="11" t="s">
        <v>324</v>
      </c>
      <c r="G275" s="11" t="s">
        <v>323</v>
      </c>
      <c r="H275" s="4" t="s">
        <v>319</v>
      </c>
      <c r="I275" s="5">
        <v>4218</v>
      </c>
      <c r="J275" s="6" t="s">
        <v>168</v>
      </c>
      <c r="K275" s="2">
        <v>4100</v>
      </c>
      <c r="L275" s="2">
        <f t="shared" ref="L275:L281" si="418">+K275*0.95</f>
        <v>3895</v>
      </c>
      <c r="M275" s="2">
        <f t="shared" ref="M275:M281" si="419">+L275-K275</f>
        <v>-205</v>
      </c>
      <c r="N275" s="21">
        <f t="shared" ref="N275:N281" si="420">+L275/K275</f>
        <v>0.95</v>
      </c>
      <c r="O275" s="56">
        <f t="shared" ref="O275" si="421">E275+P275+1+1</f>
        <v>46190.990151872043</v>
      </c>
      <c r="P275" s="25">
        <f t="shared" ref="P275:P281" si="422">+L275/Q275</f>
        <v>6.9901518720416362</v>
      </c>
      <c r="Q275" s="51">
        <f t="shared" ref="Q275:Q281" si="423">500*40/32*0.975*0.9144</f>
        <v>557.21249999999998</v>
      </c>
      <c r="R275"/>
    </row>
    <row r="276" spans="1:18" s="28" customFormat="1">
      <c r="A276" s="78">
        <v>273</v>
      </c>
      <c r="B276" s="75" t="s">
        <v>318</v>
      </c>
      <c r="C276" s="33" t="s">
        <v>184</v>
      </c>
      <c r="D276" s="31" t="s">
        <v>178</v>
      </c>
      <c r="E276" s="7">
        <v>46181</v>
      </c>
      <c r="F276" s="11" t="s">
        <v>324</v>
      </c>
      <c r="G276" s="11" t="s">
        <v>323</v>
      </c>
      <c r="H276" s="4" t="s">
        <v>319</v>
      </c>
      <c r="I276" s="5">
        <v>4218</v>
      </c>
      <c r="J276" s="6" t="s">
        <v>143</v>
      </c>
      <c r="K276" s="2">
        <v>4100</v>
      </c>
      <c r="L276" s="2">
        <f t="shared" si="418"/>
        <v>3895</v>
      </c>
      <c r="M276" s="2">
        <f t="shared" si="419"/>
        <v>-205</v>
      </c>
      <c r="N276" s="21">
        <f t="shared" si="420"/>
        <v>0.95</v>
      </c>
      <c r="O276" s="56">
        <f>E276+P276+1+1</f>
        <v>46189.990151872043</v>
      </c>
      <c r="P276" s="25">
        <f t="shared" si="422"/>
        <v>6.9901518720416362</v>
      </c>
      <c r="Q276" s="51">
        <f t="shared" si="423"/>
        <v>557.21249999999998</v>
      </c>
      <c r="R276"/>
    </row>
    <row r="277" spans="1:18" s="28" customFormat="1">
      <c r="A277" s="78">
        <v>274</v>
      </c>
      <c r="B277" s="75" t="s">
        <v>318</v>
      </c>
      <c r="C277" s="33" t="s">
        <v>184</v>
      </c>
      <c r="D277" s="31" t="s">
        <v>178</v>
      </c>
      <c r="E277" s="7">
        <v>46182</v>
      </c>
      <c r="F277" s="11" t="s">
        <v>324</v>
      </c>
      <c r="G277" s="11" t="s">
        <v>323</v>
      </c>
      <c r="H277" s="4" t="s">
        <v>319</v>
      </c>
      <c r="I277" s="5">
        <v>4218</v>
      </c>
      <c r="J277" s="6" t="s">
        <v>192</v>
      </c>
      <c r="K277" s="2">
        <v>4100</v>
      </c>
      <c r="L277" s="2">
        <f t="shared" si="418"/>
        <v>3895</v>
      </c>
      <c r="M277" s="2">
        <f t="shared" si="419"/>
        <v>-205</v>
      </c>
      <c r="N277" s="21">
        <f t="shared" si="420"/>
        <v>0.95</v>
      </c>
      <c r="O277" s="56">
        <f t="shared" ref="O277" si="424">E277+P277+1+1</f>
        <v>46190.990151872043</v>
      </c>
      <c r="P277" s="25">
        <f t="shared" si="422"/>
        <v>6.9901518720416362</v>
      </c>
      <c r="Q277" s="51">
        <f t="shared" si="423"/>
        <v>557.21249999999998</v>
      </c>
      <c r="R277"/>
    </row>
    <row r="278" spans="1:18" s="28" customFormat="1">
      <c r="A278" s="78">
        <v>275</v>
      </c>
      <c r="B278" s="75" t="s">
        <v>318</v>
      </c>
      <c r="C278" s="33" t="s">
        <v>184</v>
      </c>
      <c r="D278" s="31" t="s">
        <v>178</v>
      </c>
      <c r="E278" s="7">
        <v>46181</v>
      </c>
      <c r="F278" s="11" t="s">
        <v>324</v>
      </c>
      <c r="G278" s="11" t="s">
        <v>323</v>
      </c>
      <c r="H278" s="4" t="s">
        <v>319</v>
      </c>
      <c r="I278" s="5">
        <v>4218</v>
      </c>
      <c r="J278" s="6" t="s">
        <v>329</v>
      </c>
      <c r="K278" s="2">
        <v>4100</v>
      </c>
      <c r="L278" s="2">
        <f t="shared" si="418"/>
        <v>3895</v>
      </c>
      <c r="M278" s="2">
        <f t="shared" si="419"/>
        <v>-205</v>
      </c>
      <c r="N278" s="21">
        <f t="shared" si="420"/>
        <v>0.95</v>
      </c>
      <c r="O278" s="56">
        <f>E278+P278+1+1</f>
        <v>46189.990151872043</v>
      </c>
      <c r="P278" s="25">
        <f t="shared" si="422"/>
        <v>6.9901518720416362</v>
      </c>
      <c r="Q278" s="51">
        <f t="shared" si="423"/>
        <v>557.21249999999998</v>
      </c>
      <c r="R278"/>
    </row>
    <row r="279" spans="1:18" s="28" customFormat="1">
      <c r="A279" s="78">
        <v>276</v>
      </c>
      <c r="B279" s="75" t="s">
        <v>318</v>
      </c>
      <c r="C279" s="33" t="s">
        <v>184</v>
      </c>
      <c r="D279" s="31" t="s">
        <v>178</v>
      </c>
      <c r="E279" s="7">
        <v>46178</v>
      </c>
      <c r="F279" s="11" t="s">
        <v>324</v>
      </c>
      <c r="G279" s="11" t="s">
        <v>323</v>
      </c>
      <c r="H279" s="4" t="s">
        <v>319</v>
      </c>
      <c r="I279" s="5">
        <v>4218</v>
      </c>
      <c r="J279" s="6" t="s">
        <v>29</v>
      </c>
      <c r="K279" s="2">
        <v>2000</v>
      </c>
      <c r="L279" s="2">
        <f t="shared" si="418"/>
        <v>1900</v>
      </c>
      <c r="M279" s="2">
        <f t="shared" si="419"/>
        <v>-100</v>
      </c>
      <c r="N279" s="21">
        <f t="shared" si="420"/>
        <v>0.95</v>
      </c>
      <c r="O279" s="56">
        <f>E279+P279+1+1</f>
        <v>46183.409830181481</v>
      </c>
      <c r="P279" s="25">
        <f t="shared" si="422"/>
        <v>3.4098301814837249</v>
      </c>
      <c r="Q279" s="51">
        <f t="shared" si="423"/>
        <v>557.21249999999998</v>
      </c>
      <c r="R279"/>
    </row>
    <row r="280" spans="1:18" s="28" customFormat="1">
      <c r="A280" s="78">
        <v>277</v>
      </c>
      <c r="B280" s="75" t="s">
        <v>318</v>
      </c>
      <c r="C280" s="33" t="s">
        <v>184</v>
      </c>
      <c r="D280" s="31" t="s">
        <v>178</v>
      </c>
      <c r="E280" s="7">
        <v>46188</v>
      </c>
      <c r="F280" s="11" t="s">
        <v>324</v>
      </c>
      <c r="G280" s="11" t="s">
        <v>323</v>
      </c>
      <c r="H280" s="4" t="s">
        <v>319</v>
      </c>
      <c r="I280" s="5">
        <v>4218</v>
      </c>
      <c r="J280" s="6" t="s">
        <v>74</v>
      </c>
      <c r="K280" s="2">
        <v>4100</v>
      </c>
      <c r="L280" s="2">
        <f t="shared" si="418"/>
        <v>3895</v>
      </c>
      <c r="M280" s="2">
        <f t="shared" si="419"/>
        <v>-205</v>
      </c>
      <c r="N280" s="21">
        <f t="shared" si="420"/>
        <v>0.95</v>
      </c>
      <c r="O280" s="56">
        <f>E280+P280+1+1</f>
        <v>46196.990151872043</v>
      </c>
      <c r="P280" s="25">
        <f t="shared" si="422"/>
        <v>6.9901518720416362</v>
      </c>
      <c r="Q280" s="51">
        <f t="shared" si="423"/>
        <v>557.21249999999998</v>
      </c>
      <c r="R280"/>
    </row>
    <row r="281" spans="1:18" s="28" customFormat="1">
      <c r="A281" s="78">
        <v>278</v>
      </c>
      <c r="B281" s="75" t="s">
        <v>318</v>
      </c>
      <c r="C281" s="33" t="s">
        <v>184</v>
      </c>
      <c r="D281" s="31" t="s">
        <v>178</v>
      </c>
      <c r="E281" s="7">
        <v>46178</v>
      </c>
      <c r="F281" s="11" t="s">
        <v>324</v>
      </c>
      <c r="G281" s="11" t="s">
        <v>323</v>
      </c>
      <c r="H281" s="4" t="s">
        <v>319</v>
      </c>
      <c r="I281" s="5">
        <v>4218</v>
      </c>
      <c r="J281" s="6" t="s">
        <v>325</v>
      </c>
      <c r="K281" s="2">
        <v>4100</v>
      </c>
      <c r="L281" s="2">
        <f t="shared" si="418"/>
        <v>3895</v>
      </c>
      <c r="M281" s="2">
        <f t="shared" si="419"/>
        <v>-205</v>
      </c>
      <c r="N281" s="21">
        <f t="shared" si="420"/>
        <v>0.95</v>
      </c>
      <c r="O281" s="56">
        <f>E281+P281+1+1</f>
        <v>46186.990151872043</v>
      </c>
      <c r="P281" s="25">
        <f t="shared" si="422"/>
        <v>6.9901518720416362</v>
      </c>
      <c r="Q281" s="51">
        <f t="shared" si="423"/>
        <v>557.21249999999998</v>
      </c>
      <c r="R281"/>
    </row>
    <row r="282" spans="1:18" s="28" customFormat="1">
      <c r="A282" s="78">
        <v>279</v>
      </c>
      <c r="B282" s="75" t="s">
        <v>318</v>
      </c>
      <c r="C282" s="33" t="s">
        <v>184</v>
      </c>
      <c r="D282" s="31" t="s">
        <v>178</v>
      </c>
      <c r="E282" s="7">
        <v>46184</v>
      </c>
      <c r="F282" s="11" t="s">
        <v>324</v>
      </c>
      <c r="G282" s="11" t="s">
        <v>323</v>
      </c>
      <c r="H282" s="4" t="s">
        <v>319</v>
      </c>
      <c r="I282" s="5">
        <v>4218</v>
      </c>
      <c r="J282" s="6" t="s">
        <v>106</v>
      </c>
      <c r="K282" s="2">
        <v>4000</v>
      </c>
      <c r="L282" s="2">
        <f t="shared" ref="L282" si="425">+K282*0.95</f>
        <v>3800</v>
      </c>
      <c r="M282" s="2">
        <f t="shared" ref="M282" si="426">+L282-K282</f>
        <v>-200</v>
      </c>
      <c r="N282" s="21">
        <f t="shared" ref="N282" si="427">+L282/K282</f>
        <v>0.95</v>
      </c>
      <c r="O282" s="56">
        <f t="shared" ref="O282:O289" si="428">E282+P282+1+1</f>
        <v>46192.819660362969</v>
      </c>
      <c r="P282" s="25">
        <f t="shared" ref="P282" si="429">+L282/Q282</f>
        <v>6.8196603629674497</v>
      </c>
      <c r="Q282" s="51">
        <f t="shared" ref="Q282" si="430">500*40/32*0.975*0.9144</f>
        <v>557.21249999999998</v>
      </c>
      <c r="R282"/>
    </row>
    <row r="283" spans="1:18" s="28" customFormat="1">
      <c r="A283" s="78">
        <v>280</v>
      </c>
      <c r="B283" s="75" t="s">
        <v>318</v>
      </c>
      <c r="C283" s="33" t="s">
        <v>184</v>
      </c>
      <c r="D283" s="31" t="s">
        <v>178</v>
      </c>
      <c r="E283" s="7">
        <v>46181</v>
      </c>
      <c r="F283" s="11" t="s">
        <v>324</v>
      </c>
      <c r="G283" s="11" t="s">
        <v>323</v>
      </c>
      <c r="H283" s="4" t="s">
        <v>319</v>
      </c>
      <c r="I283" s="5">
        <v>4218</v>
      </c>
      <c r="J283" s="6" t="s">
        <v>330</v>
      </c>
      <c r="K283" s="2">
        <v>4100</v>
      </c>
      <c r="L283" s="2">
        <f>+K283*0.95</f>
        <v>3895</v>
      </c>
      <c r="M283" s="2">
        <f>+L283-K283</f>
        <v>-205</v>
      </c>
      <c r="N283" s="21">
        <f>+L283/K283</f>
        <v>0.95</v>
      </c>
      <c r="O283" s="56">
        <f>E283+P283+1+1</f>
        <v>46189.990151872043</v>
      </c>
      <c r="P283" s="25">
        <f>+L283/Q283</f>
        <v>6.9901518720416362</v>
      </c>
      <c r="Q283" s="51">
        <f>500*40/32*0.975*0.9144</f>
        <v>557.21249999999998</v>
      </c>
      <c r="R283"/>
    </row>
    <row r="284" spans="1:18" s="28" customFormat="1">
      <c r="A284" s="78">
        <v>281</v>
      </c>
      <c r="B284" s="75" t="s">
        <v>318</v>
      </c>
      <c r="C284" s="33" t="s">
        <v>184</v>
      </c>
      <c r="D284" s="31" t="s">
        <v>178</v>
      </c>
      <c r="E284" s="7">
        <v>46186</v>
      </c>
      <c r="F284" s="11" t="s">
        <v>324</v>
      </c>
      <c r="G284" s="11" t="s">
        <v>323</v>
      </c>
      <c r="H284" s="4" t="s">
        <v>319</v>
      </c>
      <c r="I284" s="5">
        <v>4218</v>
      </c>
      <c r="J284" s="6" t="s">
        <v>111</v>
      </c>
      <c r="K284" s="2">
        <v>4200</v>
      </c>
      <c r="L284" s="2">
        <f>+K284*0.95</f>
        <v>3990</v>
      </c>
      <c r="M284" s="2">
        <f>+L284-K284</f>
        <v>-210</v>
      </c>
      <c r="N284" s="21">
        <f>+L284/K284</f>
        <v>0.95</v>
      </c>
      <c r="O284" s="56">
        <f>E284+P284+1+1</f>
        <v>46195.160643381118</v>
      </c>
      <c r="P284" s="25">
        <f>+L284/Q284</f>
        <v>7.1606433811158228</v>
      </c>
      <c r="Q284" s="51">
        <f>500*40/32*0.975*0.9144</f>
        <v>557.21249999999998</v>
      </c>
      <c r="R284"/>
    </row>
    <row r="285" spans="1:18" s="28" customFormat="1">
      <c r="A285" s="78">
        <v>282</v>
      </c>
      <c r="B285" s="75" t="s">
        <v>318</v>
      </c>
      <c r="C285" s="33" t="s">
        <v>184</v>
      </c>
      <c r="D285" s="31" t="s">
        <v>178</v>
      </c>
      <c r="E285" s="7">
        <v>46186</v>
      </c>
      <c r="F285" s="11" t="s">
        <v>324</v>
      </c>
      <c r="G285" s="11" t="s">
        <v>323</v>
      </c>
      <c r="H285" s="4" t="s">
        <v>319</v>
      </c>
      <c r="I285" s="5">
        <v>4218</v>
      </c>
      <c r="J285" s="6" t="s">
        <v>40</v>
      </c>
      <c r="K285" s="2">
        <v>4200</v>
      </c>
      <c r="L285" s="2">
        <f>+K285*0.95</f>
        <v>3990</v>
      </c>
      <c r="M285" s="2">
        <f>+L285-K285</f>
        <v>-210</v>
      </c>
      <c r="N285" s="21">
        <f>+L285/K285</f>
        <v>0.95</v>
      </c>
      <c r="O285" s="56">
        <f>E285+P285+1+1</f>
        <v>46195.160643381118</v>
      </c>
      <c r="P285" s="25">
        <f>+L285/Q285</f>
        <v>7.1606433811158228</v>
      </c>
      <c r="Q285" s="51">
        <f>500*40/32*0.975*0.9144</f>
        <v>557.21249999999998</v>
      </c>
      <c r="R285"/>
    </row>
    <row r="286" spans="1:18" s="28" customFormat="1">
      <c r="A286" s="78">
        <v>283</v>
      </c>
      <c r="B286" s="75" t="s">
        <v>318</v>
      </c>
      <c r="C286" s="33" t="s">
        <v>184</v>
      </c>
      <c r="D286" s="31" t="s">
        <v>178</v>
      </c>
      <c r="E286" s="7">
        <v>46185</v>
      </c>
      <c r="F286" s="11" t="s">
        <v>324</v>
      </c>
      <c r="G286" s="11" t="s">
        <v>323</v>
      </c>
      <c r="H286" s="4" t="s">
        <v>319</v>
      </c>
      <c r="I286" s="5">
        <v>4218</v>
      </c>
      <c r="J286" s="6" t="s">
        <v>155</v>
      </c>
      <c r="K286" s="2">
        <v>4200</v>
      </c>
      <c r="L286" s="2">
        <f t="shared" ref="L286:L289" si="431">+K286*0.95</f>
        <v>3990</v>
      </c>
      <c r="M286" s="2">
        <f t="shared" ref="M286:M289" si="432">+L286-K286</f>
        <v>-210</v>
      </c>
      <c r="N286" s="21">
        <f t="shared" ref="N286:N289" si="433">+L286/K286</f>
        <v>0.95</v>
      </c>
      <c r="O286" s="56">
        <f t="shared" si="428"/>
        <v>46194.160643381118</v>
      </c>
      <c r="P286" s="25">
        <f t="shared" ref="P286:P289" si="434">+L286/Q286</f>
        <v>7.1606433811158228</v>
      </c>
      <c r="Q286" s="51">
        <f t="shared" ref="Q286:Q291" si="435">500*40/32*0.975*0.9144</f>
        <v>557.21249999999998</v>
      </c>
      <c r="R286"/>
    </row>
    <row r="287" spans="1:18" s="28" customFormat="1">
      <c r="A287" s="78">
        <v>284</v>
      </c>
      <c r="B287" s="75" t="s">
        <v>318</v>
      </c>
      <c r="C287" s="33" t="s">
        <v>184</v>
      </c>
      <c r="D287" s="31" t="s">
        <v>178</v>
      </c>
      <c r="E287" s="7">
        <v>46185</v>
      </c>
      <c r="F287" s="11" t="s">
        <v>324</v>
      </c>
      <c r="G287" s="11" t="s">
        <v>323</v>
      </c>
      <c r="H287" s="4" t="s">
        <v>319</v>
      </c>
      <c r="I287" s="5">
        <v>4218</v>
      </c>
      <c r="J287" s="6" t="s">
        <v>34</v>
      </c>
      <c r="K287" s="2">
        <v>4200</v>
      </c>
      <c r="L287" s="2">
        <f t="shared" si="431"/>
        <v>3990</v>
      </c>
      <c r="M287" s="2">
        <f t="shared" si="432"/>
        <v>-210</v>
      </c>
      <c r="N287" s="21">
        <f t="shared" si="433"/>
        <v>0.95</v>
      </c>
      <c r="O287" s="56">
        <f t="shared" si="428"/>
        <v>46194.160643381118</v>
      </c>
      <c r="P287" s="25">
        <f t="shared" si="434"/>
        <v>7.1606433811158228</v>
      </c>
      <c r="Q287" s="51">
        <f t="shared" si="435"/>
        <v>557.21249999999998</v>
      </c>
      <c r="R287"/>
    </row>
    <row r="288" spans="1:18" s="28" customFormat="1">
      <c r="A288" s="78">
        <v>285</v>
      </c>
      <c r="B288" s="75" t="s">
        <v>318</v>
      </c>
      <c r="C288" s="33" t="s">
        <v>184</v>
      </c>
      <c r="D288" s="31" t="s">
        <v>178</v>
      </c>
      <c r="E288" s="7">
        <v>46185</v>
      </c>
      <c r="F288" s="11" t="s">
        <v>324</v>
      </c>
      <c r="G288" s="11" t="s">
        <v>323</v>
      </c>
      <c r="H288" s="4" t="s">
        <v>319</v>
      </c>
      <c r="I288" s="5">
        <v>4218</v>
      </c>
      <c r="J288" s="6" t="s">
        <v>337</v>
      </c>
      <c r="K288" s="2">
        <v>4200</v>
      </c>
      <c r="L288" s="2">
        <f t="shared" si="431"/>
        <v>3990</v>
      </c>
      <c r="M288" s="2">
        <f t="shared" si="432"/>
        <v>-210</v>
      </c>
      <c r="N288" s="21">
        <f t="shared" si="433"/>
        <v>0.95</v>
      </c>
      <c r="O288" s="56">
        <f t="shared" si="428"/>
        <v>46194.160643381118</v>
      </c>
      <c r="P288" s="25">
        <f t="shared" si="434"/>
        <v>7.1606433811158228</v>
      </c>
      <c r="Q288" s="51">
        <f t="shared" si="435"/>
        <v>557.21249999999998</v>
      </c>
      <c r="R288"/>
    </row>
    <row r="289" spans="1:18" s="28" customFormat="1">
      <c r="A289" s="78">
        <v>286</v>
      </c>
      <c r="B289" s="75" t="s">
        <v>318</v>
      </c>
      <c r="C289" s="33" t="s">
        <v>184</v>
      </c>
      <c r="D289" s="31" t="s">
        <v>178</v>
      </c>
      <c r="E289" s="7">
        <v>46185</v>
      </c>
      <c r="F289" s="11" t="s">
        <v>324</v>
      </c>
      <c r="G289" s="11" t="s">
        <v>323</v>
      </c>
      <c r="H289" s="4" t="s">
        <v>319</v>
      </c>
      <c r="I289" s="5">
        <v>4218</v>
      </c>
      <c r="J289" s="6" t="s">
        <v>89</v>
      </c>
      <c r="K289" s="2">
        <v>4000</v>
      </c>
      <c r="L289" s="2">
        <f t="shared" si="431"/>
        <v>3800</v>
      </c>
      <c r="M289" s="2">
        <f t="shared" si="432"/>
        <v>-200</v>
      </c>
      <c r="N289" s="21">
        <f t="shared" si="433"/>
        <v>0.95</v>
      </c>
      <c r="O289" s="56">
        <f t="shared" si="428"/>
        <v>46193.819660362969</v>
      </c>
      <c r="P289" s="25">
        <f t="shared" si="434"/>
        <v>6.8196603629674497</v>
      </c>
      <c r="Q289" s="51">
        <f t="shared" si="435"/>
        <v>557.21249999999998</v>
      </c>
      <c r="R289"/>
    </row>
    <row r="290" spans="1:18" s="28" customFormat="1">
      <c r="A290" s="78">
        <v>287</v>
      </c>
      <c r="B290" s="75" t="s">
        <v>318</v>
      </c>
      <c r="C290" s="33" t="s">
        <v>184</v>
      </c>
      <c r="D290" s="31" t="s">
        <v>178</v>
      </c>
      <c r="E290" s="7">
        <v>46184</v>
      </c>
      <c r="F290" s="11" t="s">
        <v>324</v>
      </c>
      <c r="G290" s="11" t="s">
        <v>323</v>
      </c>
      <c r="H290" s="4" t="s">
        <v>319</v>
      </c>
      <c r="I290" s="5">
        <v>4218</v>
      </c>
      <c r="J290" s="6" t="s">
        <v>217</v>
      </c>
      <c r="K290" s="2">
        <v>1750</v>
      </c>
      <c r="L290" s="2">
        <f t="shared" ref="L290:L291" si="436">+K290*0.95</f>
        <v>1662.5</v>
      </c>
      <c r="M290" s="2">
        <f t="shared" ref="M290:M291" si="437">+L290-K290</f>
        <v>-87.5</v>
      </c>
      <c r="N290" s="21">
        <f t="shared" ref="N290:N291" si="438">+L290/K290</f>
        <v>0.95</v>
      </c>
      <c r="O290" s="56">
        <f t="shared" ref="O290:O291" si="439">E290+P290+1+1</f>
        <v>46188.9836014088</v>
      </c>
      <c r="P290" s="25">
        <f t="shared" ref="P290:P291" si="440">+L290/Q290</f>
        <v>2.9836014087982594</v>
      </c>
      <c r="Q290" s="51">
        <f t="shared" si="435"/>
        <v>557.21249999999998</v>
      </c>
      <c r="R290"/>
    </row>
    <row r="291" spans="1:18" s="28" customFormat="1">
      <c r="A291" s="78">
        <v>288</v>
      </c>
      <c r="B291" s="75" t="s">
        <v>318</v>
      </c>
      <c r="C291" s="33" t="s">
        <v>184</v>
      </c>
      <c r="D291" s="31" t="s">
        <v>178</v>
      </c>
      <c r="E291" s="7">
        <v>46184</v>
      </c>
      <c r="F291" s="11" t="s">
        <v>324</v>
      </c>
      <c r="G291" s="11" t="s">
        <v>323</v>
      </c>
      <c r="H291" s="4" t="s">
        <v>319</v>
      </c>
      <c r="I291" s="5">
        <v>4218</v>
      </c>
      <c r="J291" s="6" t="s">
        <v>10</v>
      </c>
      <c r="K291" s="2">
        <v>4000</v>
      </c>
      <c r="L291" s="2">
        <f t="shared" si="436"/>
        <v>3800</v>
      </c>
      <c r="M291" s="2">
        <f t="shared" si="437"/>
        <v>-200</v>
      </c>
      <c r="N291" s="21">
        <f t="shared" si="438"/>
        <v>0.95</v>
      </c>
      <c r="O291" s="56">
        <f t="shared" si="439"/>
        <v>46192.819660362969</v>
      </c>
      <c r="P291" s="25">
        <f t="shared" si="440"/>
        <v>6.8196603629674497</v>
      </c>
      <c r="Q291" s="51">
        <f t="shared" si="435"/>
        <v>557.21249999999998</v>
      </c>
      <c r="R291"/>
    </row>
    <row r="292" spans="1:18" s="28" customFormat="1">
      <c r="A292" s="78">
        <v>289</v>
      </c>
      <c r="B292" s="75"/>
      <c r="C292" s="33"/>
      <c r="D292" s="31"/>
      <c r="E292" s="7"/>
      <c r="F292" s="11"/>
      <c r="G292" s="11"/>
      <c r="H292" s="4"/>
      <c r="I292" s="5"/>
      <c r="J292" s="6"/>
      <c r="K292" s="2"/>
      <c r="L292" s="2"/>
      <c r="M292" s="2"/>
      <c r="N292" s="21"/>
      <c r="O292" s="56"/>
      <c r="P292" s="25"/>
      <c r="Q292" s="51"/>
    </row>
    <row r="293" spans="1:18" s="28" customFormat="1">
      <c r="A293" s="78">
        <v>290</v>
      </c>
      <c r="B293" s="75"/>
      <c r="C293" s="33"/>
      <c r="D293" s="31"/>
      <c r="E293" s="7"/>
      <c r="F293" s="11"/>
      <c r="G293" s="11"/>
      <c r="H293" s="4"/>
      <c r="I293" s="5"/>
      <c r="J293" s="6"/>
      <c r="K293" s="2"/>
      <c r="L293" s="2"/>
      <c r="M293" s="2"/>
      <c r="N293" s="21"/>
      <c r="O293" s="56"/>
      <c r="P293" s="25"/>
      <c r="Q293" s="51"/>
    </row>
    <row r="294" spans="1:18" s="28" customFormat="1">
      <c r="A294" s="78">
        <v>291</v>
      </c>
      <c r="B294" s="75"/>
      <c r="C294" s="33"/>
      <c r="D294" s="31"/>
      <c r="E294" s="7"/>
      <c r="F294" s="11"/>
      <c r="G294" s="11"/>
      <c r="H294" s="4"/>
      <c r="I294" s="5"/>
      <c r="J294" s="6"/>
      <c r="K294" s="2"/>
      <c r="L294" s="2"/>
      <c r="M294" s="2"/>
      <c r="N294" s="21"/>
      <c r="O294" s="56"/>
      <c r="P294" s="25"/>
      <c r="Q294" s="51"/>
    </row>
    <row r="295" spans="1:18" s="28" customFormat="1">
      <c r="A295" s="78">
        <v>292</v>
      </c>
      <c r="B295" s="75"/>
      <c r="C295" s="33"/>
      <c r="D295" s="31"/>
      <c r="E295" s="7"/>
      <c r="F295" s="11"/>
      <c r="G295" s="11"/>
      <c r="H295" s="4"/>
      <c r="I295" s="5"/>
      <c r="J295" s="6"/>
      <c r="K295" s="2"/>
      <c r="L295" s="2"/>
      <c r="M295" s="2"/>
      <c r="N295" s="21"/>
      <c r="O295" s="56"/>
      <c r="P295" s="25"/>
      <c r="Q295" s="51"/>
    </row>
    <row r="296" spans="1:18" s="28" customFormat="1">
      <c r="A296" s="78">
        <v>293</v>
      </c>
      <c r="B296" s="75"/>
      <c r="C296" s="33"/>
      <c r="D296" s="31"/>
      <c r="E296" s="7"/>
      <c r="F296" s="11"/>
      <c r="G296" s="11"/>
      <c r="H296" s="4"/>
      <c r="I296" s="5"/>
      <c r="J296" s="6"/>
      <c r="K296" s="2"/>
      <c r="L296" s="2"/>
      <c r="M296" s="2"/>
      <c r="N296" s="21"/>
      <c r="O296" s="56"/>
      <c r="P296" s="25"/>
      <c r="Q296" s="51"/>
    </row>
    <row r="297" spans="1:18" s="28" customFormat="1">
      <c r="A297" s="78">
        <v>294</v>
      </c>
      <c r="B297" s="75"/>
      <c r="C297" s="33"/>
      <c r="D297" s="31"/>
      <c r="E297" s="7"/>
      <c r="F297" s="11"/>
      <c r="G297" s="11"/>
      <c r="H297" s="4"/>
      <c r="I297" s="5"/>
      <c r="J297" s="6"/>
      <c r="K297" s="2"/>
      <c r="L297" s="2"/>
      <c r="M297" s="2"/>
      <c r="N297" s="21"/>
      <c r="O297" s="56"/>
      <c r="P297" s="25"/>
      <c r="Q297" s="51"/>
    </row>
    <row r="298" spans="1:18" s="28" customFormat="1">
      <c r="A298" s="78">
        <v>295</v>
      </c>
      <c r="B298" s="75"/>
      <c r="C298" s="33"/>
      <c r="D298" s="31"/>
      <c r="E298" s="7"/>
      <c r="F298" s="11"/>
      <c r="G298" s="11"/>
      <c r="H298" s="4"/>
      <c r="I298" s="5"/>
      <c r="J298" s="6"/>
      <c r="K298" s="2"/>
      <c r="L298" s="2"/>
      <c r="M298" s="2"/>
      <c r="N298" s="21"/>
      <c r="O298" s="56"/>
      <c r="P298" s="25"/>
      <c r="Q298" s="51"/>
    </row>
    <row r="299" spans="1:18" s="28" customFormat="1">
      <c r="A299" s="78">
        <v>296</v>
      </c>
      <c r="B299" s="75"/>
      <c r="C299" s="33"/>
      <c r="D299" s="31"/>
      <c r="E299" s="7"/>
      <c r="F299" s="11"/>
      <c r="G299" s="11"/>
      <c r="H299" s="4"/>
      <c r="I299" s="5"/>
      <c r="J299" s="6"/>
      <c r="K299" s="2"/>
      <c r="L299" s="2"/>
      <c r="M299" s="2"/>
      <c r="N299" s="21"/>
      <c r="O299" s="56"/>
      <c r="P299" s="25"/>
      <c r="Q299" s="51"/>
    </row>
    <row r="300" spans="1:18" s="28" customFormat="1">
      <c r="A300" s="78">
        <v>297</v>
      </c>
      <c r="B300" s="75"/>
      <c r="C300" s="33"/>
      <c r="D300" s="31"/>
      <c r="E300" s="7"/>
      <c r="F300" s="11"/>
      <c r="G300" s="11"/>
      <c r="H300" s="4"/>
      <c r="I300" s="5"/>
      <c r="J300" s="6"/>
      <c r="K300" s="2"/>
      <c r="L300" s="2"/>
      <c r="M300" s="2"/>
      <c r="N300" s="21"/>
      <c r="O300" s="56"/>
      <c r="P300" s="25"/>
      <c r="Q300" s="51"/>
    </row>
    <row r="301" spans="1:18" s="28" customFormat="1">
      <c r="A301" s="78">
        <v>298</v>
      </c>
      <c r="B301" s="75"/>
      <c r="C301" s="33"/>
      <c r="D301" s="31"/>
      <c r="E301" s="7"/>
      <c r="F301" s="11"/>
      <c r="G301" s="11"/>
      <c r="H301" s="4"/>
      <c r="I301" s="5"/>
      <c r="J301" s="6"/>
      <c r="K301" s="2"/>
      <c r="L301" s="2"/>
      <c r="M301" s="2"/>
      <c r="N301" s="21"/>
      <c r="O301" s="56"/>
      <c r="P301" s="25"/>
      <c r="Q301" s="51"/>
    </row>
    <row r="302" spans="1:18" s="28" customFormat="1">
      <c r="A302" s="78">
        <v>299</v>
      </c>
      <c r="B302" s="75"/>
      <c r="C302" s="33"/>
      <c r="D302" s="31"/>
      <c r="E302" s="7"/>
      <c r="F302" s="11"/>
      <c r="G302" s="11"/>
      <c r="H302" s="4"/>
      <c r="I302" s="5"/>
      <c r="J302" s="6"/>
      <c r="K302" s="2"/>
      <c r="L302" s="2"/>
      <c r="M302" s="2"/>
      <c r="N302" s="21"/>
      <c r="O302" s="56"/>
      <c r="P302" s="25"/>
      <c r="Q302" s="51"/>
    </row>
    <row r="303" spans="1:18" s="28" customFormat="1">
      <c r="A303" s="78">
        <v>300</v>
      </c>
      <c r="B303" s="75"/>
      <c r="C303" s="33"/>
      <c r="D303" s="31"/>
      <c r="E303" s="7"/>
      <c r="F303" s="11"/>
      <c r="G303" s="11"/>
      <c r="H303" s="4"/>
      <c r="I303" s="5"/>
      <c r="J303" s="6"/>
      <c r="K303" s="2"/>
      <c r="L303" s="2"/>
      <c r="M303" s="2"/>
      <c r="N303" s="21"/>
      <c r="O303" s="56"/>
      <c r="P303" s="25"/>
      <c r="Q303" s="51"/>
    </row>
    <row r="304" spans="1:18" s="28" customFormat="1">
      <c r="A304" s="78">
        <v>301</v>
      </c>
      <c r="B304" s="75"/>
      <c r="C304" s="33"/>
      <c r="D304" s="31"/>
      <c r="E304" s="7"/>
      <c r="F304" s="11"/>
      <c r="G304" s="11"/>
      <c r="H304" s="4"/>
      <c r="I304" s="5"/>
      <c r="J304" s="6"/>
      <c r="K304" s="2"/>
      <c r="L304" s="2"/>
      <c r="M304" s="2"/>
      <c r="N304" s="21"/>
      <c r="O304" s="56"/>
      <c r="P304" s="25"/>
      <c r="Q304" s="51"/>
    </row>
    <row r="305" spans="1:17" s="28" customFormat="1">
      <c r="A305" s="78">
        <v>302</v>
      </c>
      <c r="B305" s="75"/>
      <c r="C305" s="33"/>
      <c r="D305" s="31"/>
      <c r="E305" s="7"/>
      <c r="F305" s="11"/>
      <c r="G305" s="11"/>
      <c r="H305" s="4"/>
      <c r="I305" s="5"/>
      <c r="J305" s="6"/>
      <c r="K305" s="2"/>
      <c r="L305" s="2"/>
      <c r="M305" s="2"/>
      <c r="N305" s="21"/>
      <c r="O305" s="56"/>
      <c r="P305" s="25"/>
      <c r="Q305" s="51"/>
    </row>
    <row r="306" spans="1:17" s="28" customFormat="1">
      <c r="A306" s="78">
        <v>303</v>
      </c>
      <c r="B306" s="75"/>
      <c r="C306" s="33"/>
      <c r="D306" s="31"/>
      <c r="E306" s="7"/>
      <c r="F306" s="11"/>
      <c r="G306" s="11"/>
      <c r="H306" s="4"/>
      <c r="I306" s="5"/>
      <c r="J306" s="6"/>
      <c r="K306" s="2"/>
      <c r="L306" s="2"/>
      <c r="M306" s="2"/>
      <c r="N306" s="21"/>
      <c r="O306" s="56"/>
      <c r="P306" s="25"/>
      <c r="Q306" s="51"/>
    </row>
    <row r="307" spans="1:17" s="28" customFormat="1">
      <c r="A307" s="78">
        <v>304</v>
      </c>
      <c r="B307" s="75"/>
      <c r="C307" s="33"/>
      <c r="D307" s="31"/>
      <c r="E307" s="7"/>
      <c r="F307" s="11"/>
      <c r="G307" s="11"/>
      <c r="H307" s="4"/>
      <c r="I307" s="5"/>
      <c r="J307" s="6"/>
      <c r="K307" s="2"/>
      <c r="L307" s="2"/>
      <c r="M307" s="2"/>
      <c r="N307" s="21"/>
      <c r="O307" s="56"/>
      <c r="P307" s="25"/>
      <c r="Q307" s="51"/>
    </row>
    <row r="308" spans="1:17" s="28" customFormat="1">
      <c r="A308" s="78">
        <v>305</v>
      </c>
      <c r="B308" s="75"/>
      <c r="C308" s="33"/>
      <c r="D308" s="31"/>
      <c r="E308" s="7"/>
      <c r="F308" s="11"/>
      <c r="G308" s="11"/>
      <c r="H308" s="4"/>
      <c r="I308" s="5"/>
      <c r="J308" s="6"/>
      <c r="K308" s="2"/>
      <c r="L308" s="2"/>
      <c r="M308" s="2"/>
      <c r="N308" s="21"/>
      <c r="O308" s="56"/>
      <c r="P308" s="25"/>
      <c r="Q308" s="51"/>
    </row>
    <row r="309" spans="1:17" s="28" customFormat="1">
      <c r="A309" s="78">
        <v>306</v>
      </c>
      <c r="B309" s="75"/>
      <c r="C309" s="33"/>
      <c r="D309" s="31"/>
      <c r="E309" s="7"/>
      <c r="F309" s="11"/>
      <c r="G309" s="11"/>
      <c r="H309" s="4"/>
      <c r="I309" s="5"/>
      <c r="J309" s="6"/>
      <c r="K309" s="2"/>
      <c r="L309" s="2"/>
      <c r="M309" s="2"/>
      <c r="N309" s="21"/>
      <c r="O309" s="56"/>
      <c r="P309" s="25"/>
      <c r="Q309" s="51"/>
    </row>
    <row r="310" spans="1:17" s="28" customFormat="1">
      <c r="A310" s="78">
        <v>307</v>
      </c>
      <c r="B310" s="75"/>
      <c r="C310" s="33"/>
      <c r="D310" s="31"/>
      <c r="E310" s="7"/>
      <c r="F310" s="11"/>
      <c r="G310" s="11"/>
      <c r="H310" s="4"/>
      <c r="I310" s="5"/>
      <c r="J310" s="6"/>
      <c r="K310" s="2"/>
      <c r="L310" s="2"/>
      <c r="M310" s="2"/>
      <c r="N310" s="21"/>
      <c r="O310" s="56"/>
      <c r="P310" s="25"/>
      <c r="Q310" s="51"/>
    </row>
    <row r="311" spans="1:17" s="28" customFormat="1">
      <c r="A311" s="78">
        <v>308</v>
      </c>
      <c r="B311" s="75"/>
      <c r="C311" s="33"/>
      <c r="D311" s="31"/>
      <c r="E311" s="7"/>
      <c r="F311" s="11"/>
      <c r="G311" s="11"/>
      <c r="H311" s="4"/>
      <c r="I311" s="5"/>
      <c r="J311" s="6"/>
      <c r="K311" s="2"/>
      <c r="L311" s="2"/>
      <c r="M311" s="2"/>
      <c r="N311" s="21"/>
      <c r="O311" s="56"/>
      <c r="P311" s="25"/>
      <c r="Q311" s="51"/>
    </row>
    <row r="312" spans="1:17" s="28" customFormat="1">
      <c r="A312" s="78">
        <v>309</v>
      </c>
      <c r="B312" s="75"/>
      <c r="C312" s="33"/>
      <c r="D312" s="31"/>
      <c r="E312" s="7"/>
      <c r="F312" s="11"/>
      <c r="G312" s="11"/>
      <c r="H312" s="4"/>
      <c r="I312" s="5"/>
      <c r="J312" s="6"/>
      <c r="K312" s="2"/>
      <c r="L312" s="2"/>
      <c r="M312" s="2"/>
      <c r="N312" s="21"/>
      <c r="O312" s="56"/>
      <c r="P312" s="25"/>
      <c r="Q312" s="51"/>
    </row>
    <row r="313" spans="1:17" s="28" customFormat="1">
      <c r="A313" s="78">
        <v>310</v>
      </c>
      <c r="B313" s="75"/>
      <c r="C313" s="33"/>
      <c r="D313" s="31"/>
      <c r="E313" s="7"/>
      <c r="F313" s="11"/>
      <c r="G313" s="11"/>
      <c r="H313" s="4"/>
      <c r="I313" s="5"/>
      <c r="J313" s="6"/>
      <c r="K313" s="2"/>
      <c r="L313" s="2"/>
      <c r="M313" s="2"/>
      <c r="N313" s="21"/>
      <c r="O313" s="56"/>
      <c r="P313" s="25"/>
      <c r="Q313" s="51"/>
    </row>
    <row r="314" spans="1:17" s="28" customFormat="1">
      <c r="A314" s="78">
        <v>311</v>
      </c>
      <c r="B314" s="75"/>
      <c r="C314" s="33"/>
      <c r="D314" s="31"/>
      <c r="E314" s="7"/>
      <c r="F314" s="11"/>
      <c r="G314" s="11"/>
      <c r="H314" s="4"/>
      <c r="I314" s="5"/>
      <c r="J314" s="6"/>
      <c r="K314" s="2"/>
      <c r="L314" s="2"/>
      <c r="M314" s="2"/>
      <c r="N314" s="21"/>
      <c r="O314" s="56"/>
      <c r="P314" s="25"/>
      <c r="Q314" s="51"/>
    </row>
    <row r="315" spans="1:17" s="28" customFormat="1">
      <c r="A315" s="78">
        <v>312</v>
      </c>
      <c r="B315" s="75"/>
      <c r="C315" s="33"/>
      <c r="D315" s="31"/>
      <c r="E315" s="7"/>
      <c r="F315" s="11"/>
      <c r="G315" s="11"/>
      <c r="H315" s="4"/>
      <c r="I315" s="5"/>
      <c r="J315" s="6"/>
      <c r="K315" s="2"/>
      <c r="L315" s="2"/>
      <c r="M315" s="2"/>
      <c r="N315" s="21"/>
      <c r="O315" s="56"/>
      <c r="P315" s="25"/>
      <c r="Q315" s="51"/>
    </row>
    <row r="316" spans="1:17" s="28" customFormat="1">
      <c r="A316" s="78">
        <v>313</v>
      </c>
      <c r="B316" s="75"/>
      <c r="C316" s="33"/>
      <c r="D316" s="31"/>
      <c r="E316" s="7"/>
      <c r="F316" s="11"/>
      <c r="G316" s="11"/>
      <c r="H316" s="4"/>
      <c r="I316" s="5"/>
      <c r="J316" s="6"/>
      <c r="K316" s="2"/>
      <c r="L316" s="2"/>
      <c r="M316" s="2"/>
      <c r="N316" s="21"/>
      <c r="O316" s="56"/>
      <c r="P316" s="25"/>
      <c r="Q316" s="51"/>
    </row>
    <row r="317" spans="1:17" s="28" customFormat="1">
      <c r="A317" s="78">
        <v>314</v>
      </c>
      <c r="B317" s="75"/>
      <c r="C317" s="33"/>
      <c r="D317" s="31"/>
      <c r="E317" s="7"/>
      <c r="F317" s="11"/>
      <c r="G317" s="11"/>
      <c r="H317" s="4"/>
      <c r="I317" s="5"/>
      <c r="J317" s="6"/>
      <c r="K317" s="2"/>
      <c r="L317" s="2"/>
      <c r="M317" s="2"/>
      <c r="N317" s="21"/>
      <c r="O317" s="56"/>
      <c r="P317" s="25"/>
      <c r="Q317" s="51"/>
    </row>
    <row r="318" spans="1:17" s="28" customFormat="1">
      <c r="A318" s="78">
        <v>315</v>
      </c>
      <c r="B318" s="75"/>
      <c r="C318" s="33"/>
      <c r="D318" s="31"/>
      <c r="E318" s="7"/>
      <c r="F318" s="11"/>
      <c r="G318" s="11"/>
      <c r="H318" s="4"/>
      <c r="I318" s="5"/>
      <c r="J318" s="6"/>
      <c r="K318" s="2"/>
      <c r="L318" s="2"/>
      <c r="M318" s="2"/>
      <c r="N318" s="21"/>
      <c r="O318" s="56"/>
      <c r="P318" s="25"/>
      <c r="Q318" s="51"/>
    </row>
    <row r="319" spans="1:17" s="28" customFormat="1">
      <c r="A319" s="78">
        <v>316</v>
      </c>
      <c r="B319" s="75"/>
      <c r="C319" s="33"/>
      <c r="D319" s="31"/>
      <c r="E319" s="7"/>
      <c r="F319" s="11"/>
      <c r="G319" s="11"/>
      <c r="H319" s="4"/>
      <c r="I319" s="5"/>
      <c r="J319" s="6"/>
      <c r="K319" s="2"/>
      <c r="L319" s="2"/>
      <c r="M319" s="2"/>
      <c r="N319" s="21"/>
      <c r="O319" s="56"/>
      <c r="P319" s="25"/>
      <c r="Q319" s="51"/>
    </row>
    <row r="320" spans="1:17" s="28" customFormat="1">
      <c r="A320" s="78">
        <v>317</v>
      </c>
      <c r="B320" s="75"/>
      <c r="C320" s="33"/>
      <c r="D320" s="31"/>
      <c r="E320" s="7"/>
      <c r="F320" s="11"/>
      <c r="G320" s="11"/>
      <c r="H320" s="4"/>
      <c r="I320" s="5"/>
      <c r="J320" s="6"/>
      <c r="K320" s="2"/>
      <c r="L320" s="2"/>
      <c r="M320" s="2"/>
      <c r="N320" s="21"/>
      <c r="O320" s="56"/>
      <c r="P320" s="25"/>
      <c r="Q320" s="51"/>
    </row>
    <row r="321" spans="1:18" s="28" customFormat="1">
      <c r="A321" s="78">
        <v>318</v>
      </c>
      <c r="B321" s="75"/>
      <c r="C321" s="33"/>
      <c r="D321" s="31"/>
      <c r="E321" s="7"/>
      <c r="F321" s="11"/>
      <c r="G321" s="11"/>
      <c r="H321" s="4"/>
      <c r="I321" s="5"/>
      <c r="J321" s="6"/>
      <c r="K321" s="2"/>
      <c r="L321" s="2"/>
      <c r="M321" s="2"/>
      <c r="N321" s="21"/>
      <c r="O321" s="56"/>
      <c r="P321" s="25"/>
      <c r="Q321" s="51"/>
    </row>
    <row r="322" spans="1:18" s="28" customFormat="1">
      <c r="A322" s="78">
        <v>319</v>
      </c>
      <c r="B322" s="74" t="s">
        <v>251</v>
      </c>
      <c r="C322" s="33" t="s">
        <v>246</v>
      </c>
      <c r="D322" s="31" t="s">
        <v>178</v>
      </c>
      <c r="E322" s="7">
        <v>46169</v>
      </c>
      <c r="F322" s="11" t="s">
        <v>321</v>
      </c>
      <c r="G322" s="11" t="s">
        <v>320</v>
      </c>
      <c r="H322" s="4" t="s">
        <v>253</v>
      </c>
      <c r="I322" s="5">
        <v>3342</v>
      </c>
      <c r="J322" s="6" t="s">
        <v>118</v>
      </c>
      <c r="K322" s="2">
        <v>6500</v>
      </c>
      <c r="L322" s="2">
        <f t="shared" ref="L322" si="441">+K322*0.95</f>
        <v>6175</v>
      </c>
      <c r="M322" s="2">
        <f t="shared" ref="M322" si="442">+L322-K322</f>
        <v>-325</v>
      </c>
      <c r="N322" s="21">
        <f t="shared" ref="N322" si="443">+L322/K322</f>
        <v>0.95</v>
      </c>
      <c r="O322" s="56">
        <f>E322+P322+1+2</f>
        <v>46186.910780630162</v>
      </c>
      <c r="P322" s="25">
        <f t="shared" ref="P322" si="444">+L322/Q322</f>
        <v>14.910780630160955</v>
      </c>
      <c r="Q322" s="51">
        <f>584*40/49*0.95*0.9144</f>
        <v>414.12989387755101</v>
      </c>
      <c r="R322"/>
    </row>
    <row r="323" spans="1:18" s="28" customFormat="1">
      <c r="A323" s="78">
        <v>320</v>
      </c>
      <c r="B323" s="74" t="s">
        <v>251</v>
      </c>
      <c r="C323" s="33" t="s">
        <v>246</v>
      </c>
      <c r="D323" s="31" t="s">
        <v>178</v>
      </c>
      <c r="E323" s="7">
        <v>46168</v>
      </c>
      <c r="F323" s="11" t="s">
        <v>321</v>
      </c>
      <c r="G323" s="11" t="s">
        <v>320</v>
      </c>
      <c r="H323" s="4" t="s">
        <v>253</v>
      </c>
      <c r="I323" s="5">
        <v>3342</v>
      </c>
      <c r="J323" s="6" t="s">
        <v>30</v>
      </c>
      <c r="K323" s="2">
        <v>6500</v>
      </c>
      <c r="L323" s="2">
        <f t="shared" ref="L323" si="445">+K323*0.95</f>
        <v>6175</v>
      </c>
      <c r="M323" s="2">
        <f t="shared" ref="M323" si="446">+L323-K323</f>
        <v>-325</v>
      </c>
      <c r="N323" s="21">
        <f t="shared" ref="N323" si="447">+L323/K323</f>
        <v>0.95</v>
      </c>
      <c r="O323" s="56">
        <f>E323+P323+1+2</f>
        <v>46185.910780630162</v>
      </c>
      <c r="P323" s="25">
        <f t="shared" ref="P323" si="448">+L323/Q323</f>
        <v>14.910780630160955</v>
      </c>
      <c r="Q323" s="51">
        <f>584*40/49*0.95*0.9144</f>
        <v>414.12989387755101</v>
      </c>
      <c r="R323"/>
    </row>
    <row r="324" spans="1:18" s="28" customFormat="1">
      <c r="A324" s="78">
        <v>321</v>
      </c>
      <c r="B324" s="75"/>
      <c r="C324" s="33"/>
      <c r="D324" s="31"/>
      <c r="E324" s="7"/>
      <c r="F324" s="11"/>
      <c r="G324" s="11"/>
      <c r="H324" s="4"/>
      <c r="I324" s="5"/>
      <c r="J324" s="6"/>
      <c r="K324" s="2"/>
      <c r="L324" s="2"/>
      <c r="M324" s="2"/>
      <c r="N324" s="21"/>
      <c r="O324" s="56"/>
      <c r="P324" s="25"/>
      <c r="Q324" s="51"/>
    </row>
    <row r="325" spans="1:18" s="28" customFormat="1">
      <c r="A325" s="78">
        <v>322</v>
      </c>
      <c r="B325" s="75"/>
      <c r="C325" s="33"/>
      <c r="D325" s="31"/>
      <c r="E325" s="7"/>
      <c r="F325" s="11"/>
      <c r="G325" s="11"/>
      <c r="H325" s="4"/>
      <c r="I325" s="5"/>
      <c r="J325" s="6"/>
      <c r="K325" s="2"/>
      <c r="L325" s="2"/>
      <c r="M325" s="2"/>
      <c r="N325" s="21"/>
      <c r="O325" s="56"/>
      <c r="P325" s="25"/>
      <c r="Q325" s="51"/>
    </row>
    <row r="326" spans="1:18" s="28" customFormat="1">
      <c r="A326" s="78">
        <v>323</v>
      </c>
      <c r="B326" s="75"/>
      <c r="C326" s="33" t="s">
        <v>184</v>
      </c>
      <c r="D326" s="31" t="s">
        <v>178</v>
      </c>
      <c r="E326" s="7">
        <v>46179</v>
      </c>
      <c r="F326" s="11"/>
      <c r="G326" s="11"/>
      <c r="H326" s="4" t="s">
        <v>165</v>
      </c>
      <c r="I326" s="5">
        <v>7566</v>
      </c>
      <c r="J326" s="6" t="s">
        <v>328</v>
      </c>
      <c r="K326" s="2">
        <v>1000</v>
      </c>
      <c r="L326" s="2">
        <f t="shared" ref="L326" si="449">+K326*0.95</f>
        <v>950</v>
      </c>
      <c r="M326" s="2">
        <f t="shared" ref="M326" si="450">+L326-K326</f>
        <v>-50</v>
      </c>
      <c r="N326" s="21">
        <f t="shared" ref="N326" si="451">+L326/K326</f>
        <v>0.95</v>
      </c>
      <c r="O326" s="56">
        <f>E326+P326+1+2</f>
        <v>46186.702537182849</v>
      </c>
      <c r="P326" s="25">
        <f t="shared" ref="P326" si="452">+L326/Q326</f>
        <v>4.7025371828521436</v>
      </c>
      <c r="Q326" s="51">
        <f>500*40/86*0.95*0.9144</f>
        <v>202.01860465116278</v>
      </c>
    </row>
    <row r="327" spans="1:18" s="28" customFormat="1">
      <c r="A327" s="78">
        <v>324</v>
      </c>
      <c r="B327" s="75"/>
      <c r="C327" s="33"/>
      <c r="D327" s="31"/>
      <c r="E327" s="7"/>
      <c r="F327" s="11"/>
      <c r="G327" s="11"/>
      <c r="H327" s="4"/>
      <c r="I327" s="5"/>
      <c r="J327" s="6"/>
      <c r="K327" s="2"/>
      <c r="L327" s="2"/>
      <c r="M327" s="2"/>
      <c r="N327" s="21"/>
      <c r="O327" s="56"/>
      <c r="P327" s="25"/>
      <c r="Q327" s="51"/>
    </row>
    <row r="328" spans="1:18" s="28" customFormat="1">
      <c r="A328" s="78">
        <v>326</v>
      </c>
      <c r="B328" s="75" t="s">
        <v>318</v>
      </c>
      <c r="C328" s="33" t="s">
        <v>338</v>
      </c>
      <c r="D328" s="31" t="s">
        <v>178</v>
      </c>
      <c r="E328" s="7">
        <v>46190</v>
      </c>
      <c r="F328" s="11" t="s">
        <v>324</v>
      </c>
      <c r="G328" s="11" t="s">
        <v>323</v>
      </c>
      <c r="H328" s="4" t="s">
        <v>319</v>
      </c>
      <c r="I328" s="5">
        <v>4218</v>
      </c>
      <c r="J328" s="6" t="s">
        <v>339</v>
      </c>
      <c r="K328" s="2">
        <v>4100</v>
      </c>
      <c r="L328" s="2">
        <f>+K328*0.95</f>
        <v>3895</v>
      </c>
      <c r="M328" s="2">
        <f>+L328-K328</f>
        <v>-205</v>
      </c>
      <c r="N328" s="21">
        <f>+L328/K328</f>
        <v>0.95</v>
      </c>
      <c r="O328" s="56">
        <f>E328+P328+1+1</f>
        <v>46205.98030374408</v>
      </c>
      <c r="P328" s="25">
        <f>+L328/Q328</f>
        <v>13.980303744083272</v>
      </c>
      <c r="Q328" s="51">
        <f>500*40/64*0.975*0.9144</f>
        <v>278.60624999999999</v>
      </c>
    </row>
    <row r="329" spans="1:18" s="28" customFormat="1">
      <c r="A329" s="78">
        <v>361</v>
      </c>
      <c r="B329" s="71" t="s">
        <v>230</v>
      </c>
      <c r="C329" s="3" t="s">
        <v>378</v>
      </c>
      <c r="D329" s="31" t="s">
        <v>178</v>
      </c>
      <c r="E329" s="7">
        <v>46218</v>
      </c>
      <c r="F329" s="4" t="s">
        <v>379</v>
      </c>
      <c r="G329" s="4" t="s">
        <v>380</v>
      </c>
      <c r="H329" s="4" t="s">
        <v>326</v>
      </c>
      <c r="I329" s="5">
        <v>9506</v>
      </c>
      <c r="J329" s="4" t="s">
        <v>400</v>
      </c>
      <c r="K329" s="5">
        <v>7000</v>
      </c>
      <c r="L329" s="25">
        <f>+K329*0.95</f>
        <v>6650</v>
      </c>
      <c r="M329" s="2">
        <f t="shared" ref="M329" si="453">L329-K329</f>
        <v>-350</v>
      </c>
      <c r="N329" s="22">
        <f t="shared" ref="N329" si="454">+L329/K329</f>
        <v>0.95</v>
      </c>
      <c r="O329" s="8">
        <f>+E329+P329+1+4</f>
        <v>46250.405583848558</v>
      </c>
      <c r="P329" s="39">
        <f t="shared" ref="P329" si="455">L329/Q329</f>
        <v>27.405583848558315</v>
      </c>
      <c r="Q329" s="27">
        <f>419*40/60*0.95*0.9144</f>
        <v>242.65127999999996</v>
      </c>
    </row>
    <row r="330" spans="1:18" s="28" customFormat="1">
      <c r="A330" s="78">
        <v>362</v>
      </c>
      <c r="B330" s="71" t="s">
        <v>230</v>
      </c>
      <c r="C330" s="3" t="s">
        <v>378</v>
      </c>
      <c r="D330" s="31" t="s">
        <v>178</v>
      </c>
      <c r="E330" s="7">
        <v>46213</v>
      </c>
      <c r="F330" s="4" t="s">
        <v>379</v>
      </c>
      <c r="G330" s="4" t="s">
        <v>380</v>
      </c>
      <c r="H330" s="4" t="s">
        <v>326</v>
      </c>
      <c r="I330" s="5">
        <v>9506</v>
      </c>
      <c r="J330" s="4" t="s">
        <v>391</v>
      </c>
      <c r="K330" s="5">
        <v>7000</v>
      </c>
      <c r="L330" s="25">
        <f>+K330*0.95</f>
        <v>6650</v>
      </c>
      <c r="M330" s="2">
        <f t="shared" ref="M330" si="456">L330-K330</f>
        <v>-350</v>
      </c>
      <c r="N330" s="22">
        <f t="shared" ref="N330" si="457">+L330/K330</f>
        <v>0.95</v>
      </c>
      <c r="O330" s="8">
        <f>+E330+P330+1+5</f>
        <v>46246.405583848558</v>
      </c>
      <c r="P330" s="39">
        <f t="shared" ref="P330" si="458">L330/Q330</f>
        <v>27.405583848558315</v>
      </c>
      <c r="Q330" s="27">
        <f>419*40/60*0.95*0.9144</f>
        <v>242.65127999999996</v>
      </c>
    </row>
    <row r="331" spans="1:18" s="28" customFormat="1">
      <c r="A331" s="78">
        <v>363</v>
      </c>
      <c r="B331" s="71" t="s">
        <v>230</v>
      </c>
      <c r="C331" s="3" t="s">
        <v>378</v>
      </c>
      <c r="D331" s="31" t="s">
        <v>178</v>
      </c>
      <c r="E331" s="7">
        <v>46211</v>
      </c>
      <c r="F331" s="4" t="s">
        <v>379</v>
      </c>
      <c r="G331" s="4" t="s">
        <v>380</v>
      </c>
      <c r="H331" s="4" t="s">
        <v>326</v>
      </c>
      <c r="I331" s="5">
        <v>9506</v>
      </c>
      <c r="J331" s="4" t="s">
        <v>384</v>
      </c>
      <c r="K331" s="5">
        <v>7000</v>
      </c>
      <c r="L331" s="25">
        <f>+K331*0.95</f>
        <v>6650</v>
      </c>
      <c r="M331" s="2">
        <f t="shared" ref="M331:M336" si="459">L331-K331</f>
        <v>-350</v>
      </c>
      <c r="N331" s="22">
        <f t="shared" ref="N331:N336" si="460">+L331/K331</f>
        <v>0.95</v>
      </c>
      <c r="O331" s="8">
        <f>+E331+P331+1+4</f>
        <v>46243.405583848558</v>
      </c>
      <c r="P331" s="39">
        <f t="shared" ref="P331" si="461">L331/Q331</f>
        <v>27.405583848558315</v>
      </c>
      <c r="Q331" s="27">
        <f>419*40/60*0.95*0.9144</f>
        <v>242.65127999999996</v>
      </c>
    </row>
    <row r="332" spans="1:18" s="28" customFormat="1">
      <c r="A332" s="78">
        <v>364</v>
      </c>
      <c r="B332" s="71" t="s">
        <v>341</v>
      </c>
      <c r="C332" s="3" t="s">
        <v>342</v>
      </c>
      <c r="D332" s="31" t="s">
        <v>178</v>
      </c>
      <c r="E332" s="7">
        <v>46197</v>
      </c>
      <c r="F332" s="4"/>
      <c r="G332" s="4"/>
      <c r="H332" s="4" t="s">
        <v>343</v>
      </c>
      <c r="I332" s="5">
        <v>10800</v>
      </c>
      <c r="J332" s="4" t="s">
        <v>327</v>
      </c>
      <c r="K332" s="5">
        <v>2000</v>
      </c>
      <c r="L332" s="25">
        <f>+K332*0.95</f>
        <v>1900</v>
      </c>
      <c r="M332" s="2">
        <f t="shared" si="459"/>
        <v>-100</v>
      </c>
      <c r="N332" s="22">
        <f t="shared" si="460"/>
        <v>0.95</v>
      </c>
      <c r="O332" s="56">
        <f>E332+P332+1+1</f>
        <v>46206.67211790834</v>
      </c>
      <c r="P332" s="24">
        <f t="shared" ref="P332" si="462">+L332/Q332</f>
        <v>7.6721179083383815</v>
      </c>
      <c r="Q332" s="51">
        <f>500*40/72*0.975*0.9144</f>
        <v>247.64999999999998</v>
      </c>
    </row>
    <row r="333" spans="1:18" s="28" customFormat="1">
      <c r="A333" s="78" t="s">
        <v>280</v>
      </c>
      <c r="B333" s="71" t="s">
        <v>397</v>
      </c>
      <c r="C333" s="3" t="s">
        <v>398</v>
      </c>
      <c r="D333" s="32" t="s">
        <v>178</v>
      </c>
      <c r="E333" s="7">
        <v>46218</v>
      </c>
      <c r="F333" s="4"/>
      <c r="G333" s="4"/>
      <c r="H333" s="4" t="s">
        <v>399</v>
      </c>
      <c r="I333" s="5">
        <v>8712</v>
      </c>
      <c r="J333" s="4" t="s">
        <v>308</v>
      </c>
      <c r="K333" s="5">
        <v>2000</v>
      </c>
      <c r="L333" s="39">
        <f t="shared" ref="L333" si="463">+K333*0.95</f>
        <v>1900</v>
      </c>
      <c r="M333" s="5">
        <f t="shared" si="459"/>
        <v>-100</v>
      </c>
      <c r="N333" s="26">
        <f t="shared" si="460"/>
        <v>0.95</v>
      </c>
      <c r="O333" s="8">
        <f>+E333+P333+1+1</f>
        <v>46226.136507485666</v>
      </c>
      <c r="P333" s="39">
        <f t="shared" ref="P333" si="464">L333/Q333</f>
        <v>6.1365074856624888</v>
      </c>
      <c r="Q333" s="27">
        <f>499*40/56*0.95*0.9144</f>
        <v>309.6223714285714</v>
      </c>
    </row>
    <row r="334" spans="1:18" s="28" customFormat="1">
      <c r="A334" s="78" t="s">
        <v>292</v>
      </c>
      <c r="B334" s="71" t="s">
        <v>230</v>
      </c>
      <c r="C334" s="3" t="s">
        <v>374</v>
      </c>
      <c r="D334" s="32" t="s">
        <v>178</v>
      </c>
      <c r="E334" s="7">
        <v>46210</v>
      </c>
      <c r="F334" s="4" t="s">
        <v>375</v>
      </c>
      <c r="G334" s="4" t="s">
        <v>376</v>
      </c>
      <c r="H334" s="4" t="s">
        <v>326</v>
      </c>
      <c r="I334" s="5">
        <v>8712</v>
      </c>
      <c r="J334" s="4" t="s">
        <v>377</v>
      </c>
      <c r="K334" s="5">
        <v>6000</v>
      </c>
      <c r="L334" s="39">
        <f t="shared" ref="L334" si="465">+K334*0.95</f>
        <v>5700</v>
      </c>
      <c r="M334" s="5">
        <f t="shared" ref="M334" si="466">L334-K334</f>
        <v>-300</v>
      </c>
      <c r="N334" s="26">
        <f t="shared" ref="N334" si="467">+L334/K334</f>
        <v>0.95</v>
      </c>
      <c r="O334" s="8">
        <f>+E334+P334+1+3</f>
        <v>46233.724488346772</v>
      </c>
      <c r="P334" s="39">
        <f t="shared" ref="P334" si="468">L334/Q334</f>
        <v>19.724488346772283</v>
      </c>
      <c r="Q334" s="27">
        <f>499*40/60*0.95*0.9144</f>
        <v>288.98088000000001</v>
      </c>
    </row>
    <row r="335" spans="1:18" s="28" customFormat="1">
      <c r="A335" s="78" t="s">
        <v>303</v>
      </c>
      <c r="B335" s="71" t="s">
        <v>277</v>
      </c>
      <c r="C335" s="3" t="s">
        <v>279</v>
      </c>
      <c r="D335" s="32" t="s">
        <v>178</v>
      </c>
      <c r="E335" s="7">
        <v>46134</v>
      </c>
      <c r="F335" s="4" t="s">
        <v>306</v>
      </c>
      <c r="G335" s="4" t="s">
        <v>305</v>
      </c>
      <c r="H335" s="4" t="s">
        <v>165</v>
      </c>
      <c r="I335" s="5">
        <v>8911</v>
      </c>
      <c r="J335" s="4" t="s">
        <v>307</v>
      </c>
      <c r="K335" s="5">
        <v>7750</v>
      </c>
      <c r="L335" s="39">
        <f t="shared" ref="L335" si="469">+K335*0.95</f>
        <v>7362.5</v>
      </c>
      <c r="M335" s="5">
        <f t="shared" si="459"/>
        <v>-387.5</v>
      </c>
      <c r="N335" s="26">
        <f t="shared" si="460"/>
        <v>0.95</v>
      </c>
      <c r="O335" s="8">
        <f>+E335+P335+1+10</f>
        <v>46177.630686789154</v>
      </c>
      <c r="P335" s="39">
        <f t="shared" ref="P335:P336" si="470">L335/Q335</f>
        <v>32.630686789151362</v>
      </c>
      <c r="Q335" s="27">
        <f t="shared" ref="Q335" si="471">500*40/77*0.95*0.9144</f>
        <v>225.63116883116879</v>
      </c>
    </row>
    <row r="336" spans="1:18" s="28" customFormat="1">
      <c r="A336" s="78" t="s">
        <v>304</v>
      </c>
      <c r="B336" s="71" t="s">
        <v>230</v>
      </c>
      <c r="C336" s="3" t="s">
        <v>385</v>
      </c>
      <c r="D336" s="31" t="s">
        <v>178</v>
      </c>
      <c r="E336" s="7">
        <v>46214</v>
      </c>
      <c r="F336" s="4" t="s">
        <v>393</v>
      </c>
      <c r="G336" s="4" t="s">
        <v>392</v>
      </c>
      <c r="H336" s="4" t="s">
        <v>326</v>
      </c>
      <c r="I336" s="5">
        <v>8316</v>
      </c>
      <c r="J336" s="4" t="s">
        <v>293</v>
      </c>
      <c r="K336" s="5">
        <v>7000</v>
      </c>
      <c r="L336" s="25">
        <f>+K336*0.95</f>
        <v>6650</v>
      </c>
      <c r="M336" s="2">
        <f t="shared" si="459"/>
        <v>-350</v>
      </c>
      <c r="N336" s="22">
        <f t="shared" si="460"/>
        <v>0.95</v>
      </c>
      <c r="O336" s="8">
        <f>+E336+P336+1+5</f>
        <v>46247.405583848558</v>
      </c>
      <c r="P336" s="39">
        <f t="shared" si="470"/>
        <v>27.405583848558315</v>
      </c>
      <c r="Q336" s="27">
        <f>419*40/60*0.95*0.9144</f>
        <v>242.65127999999996</v>
      </c>
    </row>
    <row r="337" spans="1:32 3262:3264" s="50" customFormat="1" ht="15.75" thickBot="1">
      <c r="A337" s="100"/>
      <c r="B337" s="49"/>
      <c r="C337" s="59"/>
      <c r="D337" s="59"/>
      <c r="E337" s="46"/>
      <c r="F337" s="45"/>
      <c r="G337" s="45"/>
      <c r="H337" s="45"/>
      <c r="I337" s="63"/>
      <c r="J337" s="45"/>
      <c r="K337" s="45"/>
      <c r="L337" s="60"/>
      <c r="M337" s="45"/>
      <c r="N337" s="47"/>
      <c r="O337" s="45"/>
      <c r="P337" s="45"/>
      <c r="Q337" s="48"/>
      <c r="R337"/>
      <c r="S337"/>
      <c r="T337" s="28"/>
      <c r="U337"/>
      <c r="V337"/>
      <c r="W337"/>
      <c r="X337"/>
      <c r="Y337"/>
      <c r="Z337"/>
      <c r="AA337"/>
      <c r="AB337"/>
      <c r="AC337"/>
      <c r="AD337"/>
      <c r="AE337"/>
      <c r="AF337"/>
      <c r="DUL337"/>
      <c r="DUM337"/>
      <c r="DUN337"/>
    </row>
    <row r="338" spans="1:32 3262:3264">
      <c r="A338" s="101"/>
      <c r="B338" s="30"/>
      <c r="C338" s="31"/>
      <c r="D338" s="31"/>
      <c r="E338" s="6"/>
      <c r="F338" s="6"/>
      <c r="G338" s="6"/>
      <c r="H338" s="6"/>
      <c r="I338" s="2"/>
      <c r="J338" s="6"/>
      <c r="K338" s="6"/>
      <c r="L338" s="6"/>
      <c r="M338" s="6"/>
      <c r="N338" s="22"/>
      <c r="O338" s="6"/>
      <c r="P338" s="6"/>
      <c r="Q338" s="83"/>
    </row>
    <row r="339" spans="1:32 3262:3264" hidden="1">
      <c r="A339" s="101"/>
      <c r="B339" s="44"/>
      <c r="C339" s="69">
        <v>46087</v>
      </c>
      <c r="D339" s="69">
        <v>46088</v>
      </c>
      <c r="E339" s="69">
        <v>46090</v>
      </c>
      <c r="F339" s="69">
        <v>46091</v>
      </c>
      <c r="G339" s="69">
        <v>46092</v>
      </c>
      <c r="H339" s="69">
        <v>46093</v>
      </c>
      <c r="I339" s="69">
        <v>46094</v>
      </c>
      <c r="J339" s="69">
        <v>46095</v>
      </c>
      <c r="K339" s="69">
        <v>46097</v>
      </c>
      <c r="L339" s="69">
        <v>46098</v>
      </c>
      <c r="M339" s="69">
        <v>46099</v>
      </c>
      <c r="N339" s="69">
        <v>46100</v>
      </c>
      <c r="O339" s="69">
        <v>46101</v>
      </c>
      <c r="P339" s="69">
        <v>46102</v>
      </c>
      <c r="Q339" s="84">
        <v>46104</v>
      </c>
    </row>
    <row r="340" spans="1:32 3262:3264" hidden="1">
      <c r="A340" s="102" t="s">
        <v>189</v>
      </c>
      <c r="B340" s="31" t="s">
        <v>176</v>
      </c>
      <c r="C340" s="72">
        <v>71</v>
      </c>
      <c r="D340" s="6">
        <v>70</v>
      </c>
      <c r="E340" s="6">
        <v>70</v>
      </c>
      <c r="F340" s="31">
        <v>70</v>
      </c>
      <c r="G340" s="6">
        <v>76</v>
      </c>
      <c r="H340" s="6">
        <v>80</v>
      </c>
      <c r="I340" s="2">
        <v>84</v>
      </c>
      <c r="J340" s="2">
        <v>85</v>
      </c>
      <c r="K340" s="2">
        <v>85</v>
      </c>
      <c r="L340" s="2">
        <v>87</v>
      </c>
      <c r="M340" s="6">
        <v>88</v>
      </c>
      <c r="N340" s="6">
        <v>91</v>
      </c>
      <c r="O340" s="6">
        <v>91</v>
      </c>
      <c r="P340" s="6">
        <v>92</v>
      </c>
      <c r="Q340" s="34">
        <v>94</v>
      </c>
    </row>
    <row r="341" spans="1:32 3262:3264" hidden="1">
      <c r="A341" s="102" t="s">
        <v>190</v>
      </c>
      <c r="B341" s="52" t="s">
        <v>176</v>
      </c>
      <c r="C341" s="72">
        <v>47</v>
      </c>
      <c r="D341" s="6">
        <v>48</v>
      </c>
      <c r="E341" s="6">
        <v>51</v>
      </c>
      <c r="F341" s="31">
        <v>57</v>
      </c>
      <c r="G341" s="6">
        <v>55</v>
      </c>
      <c r="H341" s="6">
        <v>55</v>
      </c>
      <c r="I341" s="2">
        <v>55</v>
      </c>
      <c r="J341" s="2">
        <v>55</v>
      </c>
      <c r="K341" s="2">
        <v>56</v>
      </c>
      <c r="L341" s="2">
        <v>56</v>
      </c>
      <c r="M341" s="6">
        <v>56</v>
      </c>
      <c r="N341" s="6">
        <v>56</v>
      </c>
      <c r="O341" s="6">
        <v>56</v>
      </c>
      <c r="P341" s="6">
        <v>56</v>
      </c>
      <c r="Q341" s="34">
        <v>56</v>
      </c>
    </row>
    <row r="342" spans="1:32 3262:3264" hidden="1">
      <c r="A342" s="103" t="s">
        <v>161</v>
      </c>
      <c r="B342" s="31" t="s">
        <v>183</v>
      </c>
      <c r="C342" s="72">
        <v>12</v>
      </c>
      <c r="D342" s="6">
        <v>12</v>
      </c>
      <c r="E342" s="6">
        <v>12</v>
      </c>
      <c r="F342" s="31">
        <v>12</v>
      </c>
      <c r="G342" s="6">
        <v>11</v>
      </c>
      <c r="H342" s="6">
        <v>11</v>
      </c>
      <c r="I342" s="6">
        <v>11</v>
      </c>
      <c r="J342" s="2">
        <v>11</v>
      </c>
      <c r="K342" s="2">
        <v>11</v>
      </c>
      <c r="L342" s="2">
        <v>11</v>
      </c>
      <c r="M342" s="6">
        <v>11</v>
      </c>
      <c r="N342" s="6">
        <v>11</v>
      </c>
      <c r="O342" s="6">
        <v>11</v>
      </c>
      <c r="P342" s="6">
        <v>11</v>
      </c>
      <c r="Q342" s="34">
        <v>11</v>
      </c>
    </row>
    <row r="343" spans="1:32 3262:3264" hidden="1">
      <c r="A343" s="102" t="s">
        <v>200</v>
      </c>
      <c r="B343" s="52" t="s">
        <v>183</v>
      </c>
      <c r="C343" s="72">
        <v>25</v>
      </c>
      <c r="D343" s="6">
        <v>26</v>
      </c>
      <c r="E343" s="6">
        <v>21</v>
      </c>
      <c r="F343" s="31">
        <v>20</v>
      </c>
      <c r="G343" s="6">
        <v>19</v>
      </c>
      <c r="H343" s="6">
        <v>19</v>
      </c>
      <c r="I343" s="6">
        <v>19</v>
      </c>
      <c r="J343" s="2">
        <v>19</v>
      </c>
      <c r="K343" s="2">
        <v>19</v>
      </c>
      <c r="L343" s="2">
        <v>22</v>
      </c>
      <c r="M343" s="6">
        <v>25</v>
      </c>
      <c r="N343" s="6">
        <v>25</v>
      </c>
      <c r="O343" s="6">
        <v>25</v>
      </c>
      <c r="P343" s="6">
        <v>25</v>
      </c>
      <c r="Q343" s="34">
        <v>25</v>
      </c>
    </row>
    <row r="344" spans="1:32 3262:3264" ht="15.75" hidden="1" customHeight="1">
      <c r="A344" s="102" t="s">
        <v>232</v>
      </c>
      <c r="B344" s="99" t="s">
        <v>183</v>
      </c>
      <c r="C344" s="72">
        <v>18</v>
      </c>
      <c r="D344" s="6">
        <v>17</v>
      </c>
      <c r="E344" s="6">
        <v>15</v>
      </c>
      <c r="F344" s="31">
        <v>14</v>
      </c>
      <c r="G344" s="6">
        <v>12</v>
      </c>
      <c r="H344" s="6">
        <v>12</v>
      </c>
      <c r="I344" s="6">
        <v>12</v>
      </c>
      <c r="J344" s="2">
        <v>12</v>
      </c>
      <c r="K344" s="2">
        <v>12</v>
      </c>
      <c r="L344" s="2">
        <v>9</v>
      </c>
      <c r="M344" s="6">
        <v>6</v>
      </c>
      <c r="N344" s="6">
        <v>6</v>
      </c>
      <c r="O344" s="6">
        <v>6</v>
      </c>
      <c r="P344" s="6">
        <v>6</v>
      </c>
      <c r="Q344" s="34">
        <v>6</v>
      </c>
    </row>
    <row r="345" spans="1:32 3262:3264" hidden="1">
      <c r="A345" s="104" t="s">
        <v>135</v>
      </c>
      <c r="B345" s="31" t="s">
        <v>175</v>
      </c>
      <c r="C345" s="72">
        <v>27</v>
      </c>
      <c r="D345" s="6">
        <v>27</v>
      </c>
      <c r="E345" s="6">
        <v>26</v>
      </c>
      <c r="F345" s="31">
        <v>26</v>
      </c>
      <c r="G345" s="6">
        <v>26</v>
      </c>
      <c r="H345" s="6">
        <v>26</v>
      </c>
      <c r="I345" s="6">
        <v>26</v>
      </c>
      <c r="J345" s="2">
        <v>26</v>
      </c>
      <c r="K345" s="2">
        <v>26</v>
      </c>
      <c r="L345" s="2">
        <v>26</v>
      </c>
      <c r="M345" s="6">
        <v>26</v>
      </c>
      <c r="N345" s="6">
        <v>25</v>
      </c>
      <c r="O345" s="6">
        <v>25</v>
      </c>
      <c r="P345" s="6">
        <v>24</v>
      </c>
      <c r="Q345" s="34">
        <v>24</v>
      </c>
    </row>
    <row r="346" spans="1:32 3262:3264" hidden="1">
      <c r="A346" s="105" t="s">
        <v>208</v>
      </c>
      <c r="B346" s="31" t="s">
        <v>184</v>
      </c>
      <c r="C346" s="72">
        <v>5</v>
      </c>
      <c r="D346" s="6">
        <v>5</v>
      </c>
      <c r="E346" s="6">
        <v>5</v>
      </c>
      <c r="F346" s="31">
        <v>3</v>
      </c>
      <c r="G346" s="31">
        <v>2</v>
      </c>
      <c r="H346" s="31">
        <v>1</v>
      </c>
      <c r="I346" s="64">
        <v>1</v>
      </c>
      <c r="J346" s="64">
        <v>1</v>
      </c>
      <c r="K346" s="64">
        <v>1</v>
      </c>
      <c r="L346" s="64"/>
      <c r="M346" s="31"/>
      <c r="N346" s="31"/>
      <c r="O346" s="31"/>
      <c r="P346" s="31"/>
      <c r="Q346" s="34"/>
    </row>
    <row r="347" spans="1:32 3262:3264" hidden="1">
      <c r="A347" s="102" t="s">
        <v>191</v>
      </c>
      <c r="B347" s="31" t="s">
        <v>226</v>
      </c>
      <c r="C347" s="72">
        <v>7</v>
      </c>
      <c r="D347" s="6">
        <v>6</v>
      </c>
      <c r="E347" s="6">
        <v>6</v>
      </c>
      <c r="F347" s="31">
        <v>6</v>
      </c>
      <c r="G347" s="31">
        <v>3</v>
      </c>
      <c r="H347" s="31">
        <v>2</v>
      </c>
      <c r="I347" s="64">
        <v>2</v>
      </c>
      <c r="J347" s="64">
        <v>2</v>
      </c>
      <c r="K347" s="31">
        <v>1</v>
      </c>
      <c r="L347" s="31">
        <v>1</v>
      </c>
      <c r="M347" s="31">
        <v>1</v>
      </c>
      <c r="N347" s="31"/>
      <c r="O347" s="31"/>
      <c r="P347" s="31"/>
      <c r="Q347" s="34"/>
    </row>
    <row r="348" spans="1:32 3262:3264" hidden="1">
      <c r="A348" s="102" t="s">
        <v>171</v>
      </c>
      <c r="B348" s="31" t="s">
        <v>184</v>
      </c>
      <c r="C348" s="72">
        <v>3</v>
      </c>
      <c r="D348" s="6">
        <v>3</v>
      </c>
      <c r="E348" s="6">
        <v>3</v>
      </c>
      <c r="F348" s="31">
        <v>3</v>
      </c>
      <c r="G348" s="31">
        <v>3</v>
      </c>
      <c r="H348" s="31">
        <v>3</v>
      </c>
      <c r="I348" s="64">
        <v>1</v>
      </c>
      <c r="J348" s="64">
        <v>1</v>
      </c>
      <c r="K348" s="64">
        <v>1</v>
      </c>
      <c r="L348" s="64">
        <v>1</v>
      </c>
      <c r="M348" s="31">
        <v>1</v>
      </c>
      <c r="N348" s="31">
        <v>1</v>
      </c>
      <c r="O348" s="31">
        <v>1</v>
      </c>
      <c r="P348" s="31">
        <v>1</v>
      </c>
      <c r="Q348" s="34">
        <v>1</v>
      </c>
    </row>
    <row r="349" spans="1:32 3262:3264" hidden="1">
      <c r="A349" s="102" t="s">
        <v>167</v>
      </c>
      <c r="B349" s="31" t="s">
        <v>184</v>
      </c>
      <c r="C349" s="72">
        <v>1</v>
      </c>
      <c r="D349" s="6">
        <v>1</v>
      </c>
      <c r="E349" s="6">
        <v>1</v>
      </c>
      <c r="F349" s="31">
        <v>1</v>
      </c>
      <c r="G349" s="31">
        <v>1</v>
      </c>
      <c r="H349" s="31">
        <v>1</v>
      </c>
      <c r="I349" s="64">
        <v>1</v>
      </c>
      <c r="J349" s="64">
        <v>1</v>
      </c>
      <c r="K349" s="64">
        <v>1</v>
      </c>
      <c r="L349" s="64">
        <v>1</v>
      </c>
      <c r="M349" s="31">
        <v>1</v>
      </c>
      <c r="N349" s="31">
        <v>1</v>
      </c>
      <c r="O349" s="31">
        <v>1</v>
      </c>
      <c r="P349" s="31">
        <v>1</v>
      </c>
      <c r="Q349" s="34">
        <v>1</v>
      </c>
    </row>
    <row r="350" spans="1:32 3262:3264" hidden="1">
      <c r="A350" s="106" t="s">
        <v>235</v>
      </c>
      <c r="B350" s="31" t="s">
        <v>184</v>
      </c>
      <c r="C350" s="72">
        <v>10</v>
      </c>
      <c r="D350" s="6">
        <v>10</v>
      </c>
      <c r="E350" s="6">
        <v>8</v>
      </c>
      <c r="F350" s="31">
        <v>5</v>
      </c>
      <c r="G350" s="31">
        <v>5</v>
      </c>
      <c r="H350" s="31">
        <v>3</v>
      </c>
      <c r="I350" s="64">
        <v>2</v>
      </c>
      <c r="J350" s="64">
        <v>2</v>
      </c>
      <c r="K350" s="64">
        <v>2</v>
      </c>
      <c r="L350" s="64">
        <v>1</v>
      </c>
      <c r="M350" s="31">
        <v>1</v>
      </c>
      <c r="N350" s="31"/>
      <c r="O350" s="31"/>
      <c r="P350" s="31"/>
      <c r="Q350" s="34"/>
    </row>
    <row r="351" spans="1:32 3262:3264" hidden="1">
      <c r="A351" s="107" t="s">
        <v>236</v>
      </c>
      <c r="B351" s="31" t="s">
        <v>225</v>
      </c>
      <c r="C351" s="72">
        <v>2</v>
      </c>
      <c r="D351" s="6">
        <v>2</v>
      </c>
      <c r="E351" s="6">
        <v>2</v>
      </c>
      <c r="F351" s="31">
        <v>2</v>
      </c>
      <c r="G351" s="31">
        <v>2</v>
      </c>
      <c r="H351" s="31">
        <v>2</v>
      </c>
      <c r="I351" s="31">
        <v>2</v>
      </c>
      <c r="J351" s="64">
        <v>1</v>
      </c>
      <c r="K351" s="64">
        <v>1</v>
      </c>
      <c r="L351" s="64">
        <v>1</v>
      </c>
      <c r="M351" s="31">
        <v>1</v>
      </c>
      <c r="N351" s="31">
        <v>1</v>
      </c>
      <c r="O351" s="31">
        <v>1</v>
      </c>
      <c r="P351" s="31">
        <v>1</v>
      </c>
      <c r="Q351" s="34">
        <v>1</v>
      </c>
    </row>
    <row r="352" spans="1:32 3262:3264" hidden="1">
      <c r="A352" s="108" t="s">
        <v>248</v>
      </c>
      <c r="B352" s="31" t="s">
        <v>184</v>
      </c>
      <c r="C352" s="72">
        <v>1</v>
      </c>
      <c r="D352" s="6">
        <v>1</v>
      </c>
      <c r="E352" s="6">
        <v>1</v>
      </c>
      <c r="F352" s="31">
        <v>1</v>
      </c>
      <c r="G352" s="31">
        <v>1</v>
      </c>
      <c r="H352" s="31">
        <v>1</v>
      </c>
      <c r="I352" s="31">
        <v>1</v>
      </c>
      <c r="J352" s="31">
        <v>1</v>
      </c>
      <c r="K352" s="31">
        <v>1</v>
      </c>
      <c r="L352" s="31">
        <v>1</v>
      </c>
      <c r="M352" s="31">
        <v>1</v>
      </c>
      <c r="N352" s="31">
        <v>1</v>
      </c>
      <c r="O352" s="31">
        <v>1</v>
      </c>
      <c r="P352" s="31">
        <v>1</v>
      </c>
      <c r="Q352" s="34">
        <v>1</v>
      </c>
    </row>
    <row r="353" spans="1:20" hidden="1">
      <c r="A353" s="108" t="s">
        <v>251</v>
      </c>
      <c r="B353" s="31" t="s">
        <v>246</v>
      </c>
      <c r="C353" s="72">
        <v>1</v>
      </c>
      <c r="D353" s="6">
        <v>1</v>
      </c>
      <c r="E353" s="6">
        <v>1</v>
      </c>
      <c r="F353" s="31">
        <v>1</v>
      </c>
      <c r="G353" s="31">
        <v>1</v>
      </c>
      <c r="H353" s="31">
        <v>1</v>
      </c>
      <c r="I353" s="31">
        <v>1</v>
      </c>
      <c r="J353" s="31">
        <v>1</v>
      </c>
      <c r="K353" s="31">
        <v>1</v>
      </c>
      <c r="L353" s="31">
        <v>1</v>
      </c>
      <c r="M353" s="31">
        <v>1</v>
      </c>
      <c r="N353" s="31">
        <v>1</v>
      </c>
      <c r="O353" s="31">
        <v>1</v>
      </c>
      <c r="P353" s="31">
        <v>1</v>
      </c>
      <c r="Q353" s="34">
        <v>1</v>
      </c>
    </row>
    <row r="354" spans="1:20" hidden="1">
      <c r="A354" s="109" t="s">
        <v>287</v>
      </c>
      <c r="B354" s="31" t="s">
        <v>289</v>
      </c>
      <c r="C354" s="72">
        <v>1</v>
      </c>
      <c r="D354" s="6">
        <v>1</v>
      </c>
      <c r="E354" s="6">
        <v>1</v>
      </c>
      <c r="F354" s="31">
        <v>1</v>
      </c>
      <c r="G354" s="31">
        <v>1</v>
      </c>
      <c r="H354" s="31">
        <v>1</v>
      </c>
      <c r="I354" s="31">
        <v>1</v>
      </c>
      <c r="J354" s="31">
        <v>1</v>
      </c>
      <c r="K354" s="31">
        <v>1</v>
      </c>
      <c r="L354" s="31">
        <v>1</v>
      </c>
      <c r="M354" s="31">
        <v>1</v>
      </c>
      <c r="N354" s="31">
        <v>1</v>
      </c>
      <c r="O354" s="31">
        <v>1</v>
      </c>
      <c r="P354" s="31">
        <v>1</v>
      </c>
      <c r="Q354" s="34">
        <v>1</v>
      </c>
    </row>
    <row r="355" spans="1:20" hidden="1">
      <c r="A355" s="110" t="s">
        <v>288</v>
      </c>
      <c r="B355" s="31" t="s">
        <v>250</v>
      </c>
      <c r="C355" s="72">
        <v>1</v>
      </c>
      <c r="D355" s="6">
        <v>1</v>
      </c>
      <c r="E355" s="6">
        <v>1</v>
      </c>
      <c r="F355" s="31">
        <v>1</v>
      </c>
      <c r="G355" s="31">
        <v>1</v>
      </c>
      <c r="H355" s="31">
        <v>1</v>
      </c>
      <c r="I355" s="31">
        <v>1</v>
      </c>
      <c r="J355" s="31">
        <v>1</v>
      </c>
      <c r="K355" s="31">
        <v>1</v>
      </c>
      <c r="L355" s="31">
        <v>1</v>
      </c>
      <c r="M355" s="31">
        <v>1</v>
      </c>
      <c r="N355" s="31">
        <v>1</v>
      </c>
      <c r="O355" s="31">
        <v>1</v>
      </c>
      <c r="P355" s="31">
        <v>1</v>
      </c>
      <c r="Q355" s="34">
        <v>1</v>
      </c>
    </row>
    <row r="356" spans="1:20" hidden="1">
      <c r="A356" s="102" t="s">
        <v>252</v>
      </c>
      <c r="B356" s="31" t="s">
        <v>225</v>
      </c>
      <c r="C356" s="72">
        <v>1</v>
      </c>
      <c r="D356" s="6">
        <v>1</v>
      </c>
      <c r="E356" s="6">
        <v>1</v>
      </c>
      <c r="F356" s="31">
        <v>1</v>
      </c>
      <c r="G356" s="31">
        <v>1</v>
      </c>
      <c r="H356" s="31">
        <v>1</v>
      </c>
      <c r="I356" s="31">
        <v>1</v>
      </c>
      <c r="J356" s="31">
        <v>1</v>
      </c>
      <c r="K356" s="31">
        <v>1</v>
      </c>
      <c r="L356" s="31">
        <v>1</v>
      </c>
      <c r="M356" s="31"/>
      <c r="N356" s="31"/>
      <c r="O356" s="31"/>
      <c r="P356" s="31"/>
      <c r="Q356" s="34"/>
    </row>
    <row r="357" spans="1:20" hidden="1">
      <c r="A357" s="102" t="s">
        <v>256</v>
      </c>
      <c r="B357" s="31" t="s">
        <v>225</v>
      </c>
      <c r="C357" s="72">
        <v>2</v>
      </c>
      <c r="D357" s="6">
        <v>2</v>
      </c>
      <c r="E357" s="6">
        <v>2</v>
      </c>
      <c r="F357" s="31">
        <v>2</v>
      </c>
      <c r="G357" s="31">
        <v>2</v>
      </c>
      <c r="H357" s="31">
        <v>2</v>
      </c>
      <c r="I357" s="31">
        <v>2</v>
      </c>
      <c r="J357" s="31">
        <v>2</v>
      </c>
      <c r="K357" s="31">
        <v>2</v>
      </c>
      <c r="L357" s="31">
        <v>2</v>
      </c>
      <c r="M357" s="31">
        <v>2</v>
      </c>
      <c r="N357" s="31">
        <v>2</v>
      </c>
      <c r="O357" s="31">
        <v>2</v>
      </c>
      <c r="P357" s="31">
        <v>2</v>
      </c>
      <c r="Q357" s="34"/>
    </row>
    <row r="358" spans="1:20" hidden="1">
      <c r="A358" s="102" t="s">
        <v>267</v>
      </c>
      <c r="B358" s="31" t="s">
        <v>184</v>
      </c>
      <c r="C358" s="72">
        <v>1</v>
      </c>
      <c r="D358" s="6">
        <v>1</v>
      </c>
      <c r="E358" s="6">
        <v>1</v>
      </c>
      <c r="F358" s="31">
        <v>1</v>
      </c>
      <c r="G358" s="31">
        <v>1</v>
      </c>
      <c r="H358" s="31">
        <v>1</v>
      </c>
      <c r="I358" s="31">
        <v>1</v>
      </c>
      <c r="J358" s="31">
        <v>1</v>
      </c>
      <c r="K358" s="31">
        <v>1</v>
      </c>
      <c r="L358" s="31">
        <v>1</v>
      </c>
      <c r="M358" s="31">
        <v>1</v>
      </c>
      <c r="N358" s="31">
        <v>1</v>
      </c>
      <c r="O358" s="31">
        <v>1</v>
      </c>
      <c r="P358" s="31">
        <v>1</v>
      </c>
      <c r="Q358" s="34">
        <v>1</v>
      </c>
    </row>
    <row r="359" spans="1:20" hidden="1">
      <c r="A359" s="102" t="s">
        <v>277</v>
      </c>
      <c r="B359" s="31" t="s">
        <v>279</v>
      </c>
      <c r="C359" s="72">
        <v>1</v>
      </c>
      <c r="D359" s="6">
        <v>1</v>
      </c>
      <c r="E359" s="6">
        <v>1</v>
      </c>
      <c r="F359" s="31">
        <v>1</v>
      </c>
      <c r="G359" s="31">
        <v>1</v>
      </c>
      <c r="H359" s="31">
        <v>1</v>
      </c>
      <c r="I359" s="31"/>
      <c r="J359" s="64"/>
      <c r="K359" s="64"/>
      <c r="L359" s="64"/>
      <c r="M359" s="31">
        <v>1</v>
      </c>
      <c r="N359" s="31">
        <v>1</v>
      </c>
      <c r="O359" s="31">
        <v>1</v>
      </c>
      <c r="P359" s="31">
        <v>1</v>
      </c>
      <c r="Q359" s="34">
        <v>1</v>
      </c>
    </row>
    <row r="360" spans="1:20" hidden="1">
      <c r="A360" s="102" t="s">
        <v>278</v>
      </c>
      <c r="B360" s="31" t="s">
        <v>184</v>
      </c>
      <c r="C360" s="72"/>
      <c r="D360" s="6">
        <v>1</v>
      </c>
      <c r="E360" s="6">
        <v>1</v>
      </c>
      <c r="F360" s="31"/>
      <c r="G360" s="31"/>
      <c r="H360" s="31"/>
      <c r="I360" s="31"/>
      <c r="J360" s="64"/>
      <c r="K360" s="64"/>
      <c r="L360" s="64"/>
      <c r="M360" s="31"/>
      <c r="N360" s="31"/>
      <c r="O360" s="31"/>
      <c r="P360" s="31"/>
      <c r="Q360" s="34"/>
    </row>
    <row r="361" spans="1:20" hidden="1">
      <c r="A361" s="111"/>
      <c r="B361" s="43"/>
      <c r="C361" s="24">
        <f t="shared" ref="C361:Q361" si="472">SUM(C340:C360)</f>
        <v>237</v>
      </c>
      <c r="D361" s="24">
        <f t="shared" si="472"/>
        <v>237</v>
      </c>
      <c r="E361" s="24">
        <f t="shared" si="472"/>
        <v>230</v>
      </c>
      <c r="F361" s="24">
        <f t="shared" si="472"/>
        <v>228</v>
      </c>
      <c r="G361" s="24">
        <f t="shared" si="472"/>
        <v>224</v>
      </c>
      <c r="H361" s="24">
        <f t="shared" si="472"/>
        <v>224</v>
      </c>
      <c r="I361" s="24">
        <f t="shared" si="472"/>
        <v>224</v>
      </c>
      <c r="J361" s="24">
        <f t="shared" si="472"/>
        <v>224</v>
      </c>
      <c r="K361" s="24">
        <f t="shared" si="472"/>
        <v>224</v>
      </c>
      <c r="L361" s="24">
        <f t="shared" si="472"/>
        <v>224</v>
      </c>
      <c r="M361" s="24">
        <f t="shared" si="472"/>
        <v>225</v>
      </c>
      <c r="N361" s="24">
        <f t="shared" si="472"/>
        <v>225</v>
      </c>
      <c r="O361" s="24">
        <f t="shared" si="472"/>
        <v>225</v>
      </c>
      <c r="P361" s="24">
        <f t="shared" si="472"/>
        <v>225</v>
      </c>
      <c r="Q361" s="10">
        <f t="shared" si="472"/>
        <v>225</v>
      </c>
    </row>
    <row r="362" spans="1:20">
      <c r="A362" s="111"/>
      <c r="B362" s="31"/>
      <c r="C362" s="85">
        <v>46216</v>
      </c>
      <c r="D362" s="85">
        <v>46217</v>
      </c>
      <c r="E362" s="85">
        <v>46218</v>
      </c>
      <c r="F362" s="85">
        <v>46219</v>
      </c>
      <c r="G362" s="85">
        <v>46220</v>
      </c>
      <c r="H362" s="69"/>
      <c r="I362" s="85"/>
      <c r="J362" s="85"/>
      <c r="K362" s="85"/>
      <c r="L362" s="85"/>
      <c r="M362" s="85"/>
      <c r="N362" s="85"/>
      <c r="O362" s="85"/>
      <c r="P362" s="85"/>
      <c r="Q362" s="114"/>
    </row>
    <row r="363" spans="1:20">
      <c r="A363" s="102" t="s">
        <v>189</v>
      </c>
      <c r="B363" s="31" t="s">
        <v>176</v>
      </c>
      <c r="C363" s="6">
        <v>165</v>
      </c>
      <c r="D363" s="6">
        <v>169</v>
      </c>
      <c r="E363" s="6">
        <v>169</v>
      </c>
      <c r="F363" s="31">
        <v>169</v>
      </c>
      <c r="G363" s="31">
        <v>169</v>
      </c>
      <c r="H363" s="6"/>
      <c r="I363" s="31"/>
      <c r="J363" s="31"/>
      <c r="K363" s="6"/>
      <c r="L363" s="6"/>
      <c r="M363" s="6"/>
      <c r="N363" s="6"/>
      <c r="O363" s="6"/>
      <c r="P363" s="6"/>
      <c r="Q363" s="34"/>
      <c r="R363" s="1"/>
    </row>
    <row r="364" spans="1:20">
      <c r="A364" s="102" t="s">
        <v>190</v>
      </c>
      <c r="B364" s="52" t="s">
        <v>176</v>
      </c>
      <c r="C364" s="6">
        <v>43</v>
      </c>
      <c r="D364" s="6">
        <v>39</v>
      </c>
      <c r="E364" s="6">
        <v>39</v>
      </c>
      <c r="F364" s="31">
        <v>39</v>
      </c>
      <c r="G364" s="31">
        <v>39</v>
      </c>
      <c r="H364" s="6"/>
      <c r="I364" s="31"/>
      <c r="J364" s="31"/>
      <c r="K364" s="6"/>
      <c r="L364" s="6"/>
      <c r="M364" s="6"/>
      <c r="N364" s="6"/>
      <c r="O364" s="6"/>
      <c r="P364" s="6"/>
      <c r="Q364" s="34"/>
      <c r="R364" s="1"/>
      <c r="T364" s="1"/>
    </row>
    <row r="365" spans="1:20">
      <c r="A365" s="103" t="s">
        <v>161</v>
      </c>
      <c r="B365" s="31" t="s">
        <v>183</v>
      </c>
      <c r="C365" s="31">
        <v>18</v>
      </c>
      <c r="D365" s="31">
        <v>18</v>
      </c>
      <c r="E365" s="31">
        <v>18</v>
      </c>
      <c r="F365" s="31">
        <v>19</v>
      </c>
      <c r="G365" s="31">
        <v>19</v>
      </c>
      <c r="H365" s="6"/>
      <c r="I365" s="31"/>
      <c r="J365" s="31"/>
      <c r="K365" s="31"/>
      <c r="L365" s="31"/>
      <c r="M365" s="31"/>
      <c r="N365" s="31"/>
      <c r="O365" s="31"/>
      <c r="P365" s="31"/>
      <c r="Q365" s="115"/>
      <c r="R365" s="1"/>
      <c r="T365" s="1"/>
    </row>
    <row r="366" spans="1:20" ht="15.75" customHeight="1">
      <c r="A366" s="102" t="s">
        <v>200</v>
      </c>
      <c r="B366" s="52" t="s">
        <v>183</v>
      </c>
      <c r="C366" s="31">
        <v>9</v>
      </c>
      <c r="D366" s="31">
        <v>9</v>
      </c>
      <c r="E366" s="31">
        <v>7</v>
      </c>
      <c r="F366" s="31">
        <v>6</v>
      </c>
      <c r="G366" s="31">
        <v>5</v>
      </c>
      <c r="H366" s="6"/>
      <c r="I366" s="31"/>
      <c r="J366" s="31"/>
      <c r="K366" s="31"/>
      <c r="L366" s="31"/>
      <c r="M366" s="31"/>
      <c r="N366" s="31"/>
      <c r="O366" s="31"/>
      <c r="P366" s="31"/>
      <c r="Q366" s="115"/>
      <c r="R366" s="1"/>
      <c r="T366" s="1"/>
    </row>
    <row r="367" spans="1:20">
      <c r="A367" s="108" t="s">
        <v>314</v>
      </c>
      <c r="B367" s="32" t="s">
        <v>315</v>
      </c>
      <c r="C367" s="31">
        <v>4</v>
      </c>
      <c r="D367" s="31">
        <v>4</v>
      </c>
      <c r="E367" s="31">
        <v>4</v>
      </c>
      <c r="F367" s="31">
        <v>3</v>
      </c>
      <c r="G367" s="31">
        <v>3</v>
      </c>
      <c r="H367" s="6"/>
      <c r="I367" s="31"/>
      <c r="J367" s="31"/>
      <c r="K367" s="31"/>
      <c r="L367" s="31"/>
      <c r="M367" s="31"/>
      <c r="N367" s="31"/>
      <c r="O367" s="31"/>
      <c r="P367" s="31"/>
      <c r="Q367" s="115"/>
      <c r="R367" s="1"/>
    </row>
    <row r="368" spans="1:20">
      <c r="A368" s="108" t="s">
        <v>191</v>
      </c>
      <c r="B368" s="31" t="s">
        <v>226</v>
      </c>
      <c r="C368" s="31">
        <v>6</v>
      </c>
      <c r="D368" s="31">
        <v>6</v>
      </c>
      <c r="E368" s="31">
        <v>6</v>
      </c>
      <c r="F368" s="31">
        <v>6</v>
      </c>
      <c r="G368" s="31">
        <v>6</v>
      </c>
      <c r="H368" s="6"/>
      <c r="I368" s="31"/>
      <c r="J368" s="31"/>
      <c r="K368" s="31"/>
      <c r="L368" s="31"/>
      <c r="M368" s="31"/>
      <c r="N368" s="31"/>
      <c r="O368" s="31"/>
      <c r="P368" s="31"/>
      <c r="Q368" s="115"/>
      <c r="R368" s="1"/>
    </row>
    <row r="369" spans="1:18">
      <c r="A369" s="102" t="s">
        <v>344</v>
      </c>
      <c r="B369" s="33" t="s">
        <v>342</v>
      </c>
      <c r="C369" s="31">
        <v>1</v>
      </c>
      <c r="D369" s="31">
        <v>1</v>
      </c>
      <c r="E369" s="31">
        <v>1</v>
      </c>
      <c r="F369" s="31">
        <v>1</v>
      </c>
      <c r="G369" s="31">
        <v>1</v>
      </c>
      <c r="H369" s="6"/>
      <c r="I369" s="31"/>
      <c r="J369" s="31"/>
      <c r="K369" s="31"/>
      <c r="L369" s="31"/>
      <c r="M369" s="31"/>
      <c r="N369" s="31"/>
      <c r="O369" s="31"/>
      <c r="P369" s="31"/>
      <c r="Q369" s="115"/>
    </row>
    <row r="370" spans="1:18">
      <c r="A370" s="108" t="s">
        <v>248</v>
      </c>
      <c r="B370" s="31" t="s">
        <v>184</v>
      </c>
      <c r="C370" s="31">
        <v>4</v>
      </c>
      <c r="D370" s="31">
        <v>4</v>
      </c>
      <c r="E370" s="31">
        <v>4</v>
      </c>
      <c r="F370" s="31">
        <v>4</v>
      </c>
      <c r="G370" s="31">
        <v>4</v>
      </c>
      <c r="H370" s="6"/>
      <c r="I370" s="31"/>
      <c r="J370" s="31"/>
      <c r="K370" s="31"/>
      <c r="L370" s="31"/>
      <c r="M370" s="31"/>
      <c r="N370" s="31"/>
      <c r="O370" s="31"/>
      <c r="P370" s="31"/>
      <c r="Q370" s="115"/>
      <c r="R370" s="1"/>
    </row>
    <row r="371" spans="1:18">
      <c r="A371" s="112" t="s">
        <v>208</v>
      </c>
      <c r="B371" s="31" t="s">
        <v>184</v>
      </c>
      <c r="C371" s="31"/>
      <c r="D371" s="31"/>
      <c r="E371" s="31">
        <v>2</v>
      </c>
      <c r="F371" s="31">
        <v>3</v>
      </c>
      <c r="G371" s="31">
        <v>4</v>
      </c>
      <c r="H371" s="6"/>
      <c r="I371" s="31"/>
      <c r="J371" s="31"/>
      <c r="K371" s="31"/>
      <c r="L371" s="31"/>
      <c r="M371" s="31"/>
      <c r="N371" s="31"/>
      <c r="O371" s="31"/>
      <c r="P371" s="31"/>
      <c r="Q371" s="115"/>
    </row>
    <row r="372" spans="1:18">
      <c r="A372" s="113" t="s">
        <v>239</v>
      </c>
      <c r="B372" s="31" t="s">
        <v>184</v>
      </c>
      <c r="C372" s="31">
        <v>1</v>
      </c>
      <c r="D372" s="31">
        <v>1</v>
      </c>
      <c r="E372" s="31">
        <v>1</v>
      </c>
      <c r="F372" s="31">
        <v>1</v>
      </c>
      <c r="G372" s="31">
        <v>1</v>
      </c>
      <c r="H372" s="6"/>
      <c r="I372" s="31"/>
      <c r="J372" s="31"/>
      <c r="K372" s="31"/>
      <c r="L372" s="31"/>
      <c r="M372" s="31"/>
      <c r="N372" s="31"/>
      <c r="O372" s="31"/>
      <c r="P372" s="31"/>
      <c r="Q372" s="115"/>
    </row>
    <row r="373" spans="1:18">
      <c r="A373" s="109" t="s">
        <v>287</v>
      </c>
      <c r="B373" s="31" t="s">
        <v>289</v>
      </c>
      <c r="C373" s="31">
        <v>1</v>
      </c>
      <c r="D373" s="31">
        <v>0</v>
      </c>
      <c r="E373" s="31"/>
      <c r="F373" s="31"/>
      <c r="G373" s="31"/>
      <c r="H373" s="6"/>
      <c r="I373" s="31"/>
      <c r="J373" s="31"/>
      <c r="K373" s="31"/>
      <c r="L373" s="31"/>
      <c r="M373" s="31"/>
      <c r="N373" s="31"/>
      <c r="O373" s="31"/>
      <c r="P373" s="31"/>
      <c r="Q373" s="115"/>
    </row>
    <row r="374" spans="1:18">
      <c r="A374" s="102" t="s">
        <v>267</v>
      </c>
      <c r="B374" s="31" t="s">
        <v>184</v>
      </c>
      <c r="C374" s="31">
        <v>2</v>
      </c>
      <c r="D374" s="31">
        <v>2</v>
      </c>
      <c r="E374" s="31">
        <v>2</v>
      </c>
      <c r="F374" s="31">
        <v>2</v>
      </c>
      <c r="G374" s="31">
        <v>2</v>
      </c>
      <c r="H374" s="6"/>
      <c r="I374" s="31"/>
      <c r="J374" s="31"/>
      <c r="K374" s="31"/>
      <c r="L374" s="31"/>
      <c r="M374" s="31"/>
      <c r="N374" s="31"/>
      <c r="O374" s="31"/>
      <c r="P374" s="31"/>
      <c r="Q374" s="115"/>
    </row>
    <row r="375" spans="1:18">
      <c r="A375" s="102" t="s">
        <v>277</v>
      </c>
      <c r="B375" s="31" t="s">
        <v>279</v>
      </c>
      <c r="C375" s="31">
        <v>1</v>
      </c>
      <c r="D375" s="31">
        <v>1</v>
      </c>
      <c r="E375" s="31">
        <v>1</v>
      </c>
      <c r="F375" s="31">
        <v>1</v>
      </c>
      <c r="G375" s="31">
        <v>1</v>
      </c>
      <c r="H375" s="6"/>
      <c r="I375" s="31"/>
      <c r="J375" s="31"/>
      <c r="K375" s="31"/>
      <c r="L375" s="31"/>
      <c r="M375" s="31"/>
      <c r="N375" s="31"/>
      <c r="O375" s="31"/>
      <c r="P375" s="31"/>
      <c r="Q375" s="115"/>
    </row>
    <row r="376" spans="1:18">
      <c r="A376" s="102" t="s">
        <v>277</v>
      </c>
      <c r="B376" s="32" t="s">
        <v>398</v>
      </c>
      <c r="C376" s="31"/>
      <c r="D376" s="31"/>
      <c r="E376" s="31">
        <v>1</v>
      </c>
      <c r="F376" s="31">
        <v>1</v>
      </c>
      <c r="G376" s="31">
        <v>1</v>
      </c>
      <c r="H376" s="6"/>
      <c r="I376" s="31"/>
      <c r="J376" s="31"/>
      <c r="K376" s="31"/>
      <c r="L376" s="31"/>
      <c r="M376" s="31"/>
      <c r="N376" s="31"/>
      <c r="O376" s="31"/>
      <c r="P376" s="31"/>
      <c r="Q376" s="115"/>
    </row>
    <row r="377" spans="1:18">
      <c r="A377" s="102" t="s">
        <v>388</v>
      </c>
      <c r="B377" s="31" t="s">
        <v>374</v>
      </c>
      <c r="C377" s="31">
        <v>2</v>
      </c>
      <c r="D377" s="31">
        <v>2</v>
      </c>
      <c r="E377" s="31">
        <v>1</v>
      </c>
      <c r="F377" s="31">
        <v>1</v>
      </c>
      <c r="G377" s="31">
        <v>1</v>
      </c>
      <c r="H377" s="6"/>
      <c r="I377" s="31"/>
      <c r="J377" s="31"/>
      <c r="K377" s="31"/>
      <c r="L377" s="31"/>
      <c r="M377" s="31"/>
      <c r="N377" s="31"/>
      <c r="O377" s="31"/>
      <c r="P377" s="31"/>
      <c r="Q377" s="115"/>
    </row>
    <row r="378" spans="1:18">
      <c r="A378" s="102" t="s">
        <v>387</v>
      </c>
      <c r="B378" s="31" t="s">
        <v>378</v>
      </c>
      <c r="C378" s="31">
        <v>2</v>
      </c>
      <c r="D378" s="31">
        <v>2</v>
      </c>
      <c r="E378" s="31">
        <v>3</v>
      </c>
      <c r="F378" s="31">
        <v>3</v>
      </c>
      <c r="G378" s="31">
        <v>3</v>
      </c>
      <c r="H378" s="6"/>
      <c r="I378" s="31"/>
      <c r="J378" s="31"/>
      <c r="K378" s="31"/>
      <c r="L378" s="31"/>
      <c r="M378" s="31"/>
      <c r="N378" s="31"/>
      <c r="O378" s="31"/>
      <c r="P378" s="31"/>
      <c r="Q378" s="115"/>
    </row>
    <row r="379" spans="1:18">
      <c r="A379" s="102" t="s">
        <v>386</v>
      </c>
      <c r="B379" s="31" t="s">
        <v>385</v>
      </c>
      <c r="C379" s="31">
        <v>1</v>
      </c>
      <c r="D379" s="31">
        <v>1</v>
      </c>
      <c r="E379" s="31">
        <v>1</v>
      </c>
      <c r="F379" s="31">
        <v>1</v>
      </c>
      <c r="G379" s="31">
        <v>1</v>
      </c>
      <c r="H379" s="6"/>
      <c r="I379" s="31"/>
      <c r="J379" s="31"/>
      <c r="K379" s="31"/>
      <c r="L379" s="31"/>
      <c r="M379" s="31"/>
      <c r="N379" s="31"/>
      <c r="O379" s="31"/>
      <c r="P379" s="31"/>
      <c r="Q379" s="115"/>
    </row>
    <row r="380" spans="1:18">
      <c r="A380" s="102" t="s">
        <v>318</v>
      </c>
      <c r="B380" s="31" t="s">
        <v>184</v>
      </c>
      <c r="C380" s="31">
        <v>20</v>
      </c>
      <c r="D380" s="31">
        <v>20</v>
      </c>
      <c r="E380" s="31">
        <v>20</v>
      </c>
      <c r="F380" s="31">
        <v>20</v>
      </c>
      <c r="G380" s="31">
        <v>20</v>
      </c>
      <c r="H380" s="6"/>
      <c r="I380" s="31"/>
      <c r="J380" s="31"/>
      <c r="K380" s="31"/>
      <c r="L380" s="31"/>
      <c r="M380" s="31"/>
      <c r="N380" s="31"/>
      <c r="O380" s="31"/>
      <c r="P380" s="31"/>
      <c r="Q380" s="115"/>
    </row>
    <row r="381" spans="1:18">
      <c r="A381" s="111"/>
      <c r="B381" s="31"/>
      <c r="C381" s="31">
        <f>SUM(C363:C380)</f>
        <v>280</v>
      </c>
      <c r="D381" s="31">
        <f>SUM(D363:D380)</f>
        <v>279</v>
      </c>
      <c r="E381" s="31">
        <f>SUM(E363:E380)</f>
        <v>280</v>
      </c>
      <c r="F381" s="31">
        <f>SUM(F363:F380)</f>
        <v>280</v>
      </c>
      <c r="G381" s="31">
        <f>SUM(G363:G380)</f>
        <v>280</v>
      </c>
      <c r="H381" s="6"/>
      <c r="I381" s="31"/>
      <c r="J381" s="31"/>
      <c r="K381" s="31"/>
      <c r="L381" s="31"/>
      <c r="M381" s="31"/>
      <c r="N381" s="31"/>
      <c r="O381" s="31"/>
      <c r="P381" s="31"/>
      <c r="Q381" s="115"/>
      <c r="R381" s="116"/>
    </row>
    <row r="382" spans="1:18">
      <c r="A382" s="111"/>
      <c r="B382" s="31"/>
      <c r="C382" s="31"/>
      <c r="D382" s="31"/>
      <c r="E382" s="6"/>
      <c r="F382" s="6"/>
      <c r="G382" s="6"/>
      <c r="H382" s="6"/>
      <c r="I382" s="2"/>
      <c r="J382" s="6"/>
      <c r="K382" s="6"/>
      <c r="L382" s="6"/>
      <c r="M382" s="6"/>
      <c r="N382" s="22"/>
      <c r="O382" s="6"/>
      <c r="P382" s="6"/>
      <c r="Q382" s="34"/>
    </row>
    <row r="383" spans="1:18">
      <c r="A383" s="57"/>
      <c r="B383" s="1"/>
      <c r="C383" s="1"/>
      <c r="D383" s="1"/>
      <c r="E383" s="1"/>
      <c r="F383" s="1"/>
      <c r="G383" s="1"/>
      <c r="H383" s="1"/>
      <c r="I383" s="61"/>
      <c r="J383" s="1"/>
      <c r="L383" s="1"/>
      <c r="M383" s="1"/>
      <c r="N383" s="19"/>
      <c r="O383" s="1"/>
      <c r="P383" s="1"/>
      <c r="Q383" s="1"/>
    </row>
    <row r="384" spans="1:18">
      <c r="A384" s="57"/>
      <c r="B384" s="1"/>
      <c r="C384" s="1"/>
      <c r="D384" s="1"/>
      <c r="E384" s="1"/>
      <c r="F384" s="1"/>
      <c r="G384" s="1"/>
      <c r="H384" s="1"/>
      <c r="I384" s="61"/>
      <c r="J384" s="1"/>
      <c r="L384" s="1"/>
      <c r="M384" s="1"/>
      <c r="N384" s="19"/>
      <c r="O384" s="1"/>
      <c r="P384" s="1"/>
      <c r="Q384" s="1"/>
    </row>
    <row r="385" spans="1:17">
      <c r="A385" s="57"/>
      <c r="B385" s="1"/>
      <c r="C385" s="1"/>
      <c r="D385" s="1"/>
      <c r="E385" s="1"/>
      <c r="F385" s="1"/>
      <c r="G385" s="1"/>
      <c r="H385" s="1"/>
      <c r="I385" s="61"/>
      <c r="J385" s="1"/>
      <c r="L385" s="1"/>
      <c r="M385" s="1"/>
      <c r="N385" s="19"/>
      <c r="O385" s="1"/>
      <c r="P385" s="1"/>
      <c r="Q385" s="1"/>
    </row>
    <row r="386" spans="1:17">
      <c r="A386" s="57"/>
      <c r="B386" s="1"/>
      <c r="C386" s="1"/>
      <c r="D386" s="1"/>
      <c r="E386" s="1"/>
      <c r="F386" s="1"/>
      <c r="G386" s="1"/>
      <c r="H386" s="1"/>
      <c r="I386" s="61"/>
      <c r="J386" s="1"/>
      <c r="L386" s="1"/>
      <c r="M386" s="1"/>
      <c r="N386" s="19"/>
      <c r="O386" s="1"/>
      <c r="P386" s="1"/>
      <c r="Q386" s="1"/>
    </row>
    <row r="387" spans="1:17">
      <c r="A387" s="57"/>
      <c r="B387" s="1"/>
      <c r="C387" s="1"/>
      <c r="D387" s="1"/>
      <c r="E387" s="1"/>
      <c r="F387" s="1"/>
      <c r="G387" s="1"/>
      <c r="H387" s="1"/>
      <c r="I387" s="61"/>
      <c r="J387" s="1"/>
      <c r="L387" s="1"/>
      <c r="M387" s="1"/>
      <c r="N387" s="19"/>
      <c r="O387" s="1"/>
      <c r="P387" s="1"/>
      <c r="Q387" s="1"/>
    </row>
    <row r="388" spans="1:17">
      <c r="A388" s="57"/>
      <c r="B388" s="1"/>
      <c r="C388" s="1"/>
      <c r="D388" s="1"/>
      <c r="E388" s="1"/>
      <c r="F388" s="1"/>
      <c r="G388" s="1"/>
      <c r="H388" s="1"/>
      <c r="I388" s="61"/>
      <c r="J388" s="1"/>
      <c r="L388" s="1"/>
      <c r="M388" s="1"/>
      <c r="N388" s="19"/>
      <c r="O388" s="1"/>
      <c r="P388" s="1"/>
      <c r="Q388" s="1"/>
    </row>
    <row r="389" spans="1:17">
      <c r="A389" s="57"/>
      <c r="B389" s="1"/>
      <c r="C389" s="1"/>
      <c r="D389" s="1"/>
      <c r="E389" s="1"/>
      <c r="F389" s="1"/>
      <c r="G389" s="1"/>
      <c r="H389" s="1"/>
      <c r="I389" s="61"/>
      <c r="J389" s="1"/>
      <c r="L389" s="1"/>
      <c r="M389" s="1"/>
      <c r="N389" s="19"/>
      <c r="O389" s="1"/>
      <c r="P389" s="1"/>
      <c r="Q389" s="1"/>
    </row>
    <row r="390" spans="1:17">
      <c r="A390" s="57"/>
      <c r="B390" s="1"/>
      <c r="C390" s="1"/>
      <c r="D390" s="1"/>
      <c r="E390" s="1"/>
      <c r="F390" s="1"/>
      <c r="G390" s="1"/>
      <c r="H390" s="1"/>
      <c r="I390" s="61"/>
      <c r="J390" s="1"/>
      <c r="L390" s="1"/>
      <c r="M390" s="1"/>
      <c r="N390" s="19"/>
      <c r="O390" s="1"/>
      <c r="P390" s="1"/>
      <c r="Q390" s="1"/>
    </row>
    <row r="391" spans="1:17">
      <c r="A391" s="57"/>
      <c r="B391" s="1"/>
      <c r="C391" s="1"/>
      <c r="D391" s="1"/>
      <c r="E391" s="1"/>
      <c r="F391" s="1"/>
      <c r="G391" s="1"/>
      <c r="H391" s="1"/>
      <c r="I391" s="61"/>
      <c r="J391" s="1"/>
      <c r="L391" s="1"/>
      <c r="M391" s="1"/>
      <c r="N391" s="19"/>
      <c r="O391" s="1"/>
      <c r="P391" s="1"/>
      <c r="Q391" s="1"/>
    </row>
    <row r="392" spans="1:17">
      <c r="A392" s="57"/>
      <c r="B392" s="1"/>
      <c r="C392" s="1"/>
      <c r="D392" s="1"/>
      <c r="E392" s="1"/>
      <c r="F392" s="1"/>
      <c r="G392" s="1"/>
      <c r="H392" s="1"/>
      <c r="I392" s="61"/>
      <c r="J392" s="1"/>
      <c r="L392" s="1"/>
      <c r="M392" s="1"/>
      <c r="N392" s="19"/>
      <c r="O392" s="1"/>
      <c r="P392" s="1"/>
      <c r="Q392" s="1"/>
    </row>
  </sheetData>
  <mergeCells count="1">
    <mergeCell ref="A1:H1"/>
  </mergeCells>
  <phoneticPr fontId="6" type="noConversion"/>
  <printOptions horizontalCentered="1"/>
  <pageMargins left="0.16" right="0.16" top="0.75" bottom="0.75" header="0.3" footer="0.3"/>
  <pageSetup paperSize="9" scale="7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호기 및 품목별 상하대 일정 (당일)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Ahn.SH</dc:creator>
  <cp:lastModifiedBy>Tran Tr. Khai</cp:lastModifiedBy>
  <cp:lastPrinted>2026-07-06T08:37:33Z</cp:lastPrinted>
  <dcterms:created xsi:type="dcterms:W3CDTF">2025-07-18T09:04:09Z</dcterms:created>
  <dcterms:modified xsi:type="dcterms:W3CDTF">2026-07-21T04:27:35Z</dcterms:modified>
</cp:coreProperties>
</file>